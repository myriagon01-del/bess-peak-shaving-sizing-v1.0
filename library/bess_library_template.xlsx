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Battery_PCS_Library" sheetId="2" state="visible" r:id="rId2"/>
    <sheet xmlns:r="http://schemas.openxmlformats.org/officeDocument/2006/relationships" name="Parameter Definition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Carlito"/>
      <sz val="11"/>
    </font>
    <font>
      <name val="Aptos"/>
      <b val="1"/>
      <color rgb="FFFFFFFF"/>
      <sz val="16"/>
    </font>
    <font>
      <name val="Aptos"/>
      <i val="1"/>
      <color rgb="FF0B1F3A"/>
      <sz val="11"/>
    </font>
    <font>
      <name val="Aptos"/>
      <b val="1"/>
      <color rgb="FFFFFFFF"/>
      <sz val="11"/>
    </font>
    <font>
      <name val="Aptos"/>
      <sz val="11"/>
    </font>
    <font>
      <name val="Aptos"/>
      <color rgb="FF14532D"/>
      <sz val="11"/>
    </font>
    <font>
      <name val="Aptos"/>
      <i val="1"/>
      <color rgb="FF7F6000"/>
      <sz val="11"/>
    </font>
    <font>
      <name val="Carlito"/>
      <b val="1"/>
      <color rgb="FF1A2333"/>
      <sz val="14"/>
    </font>
    <font>
      <name val="Carlito"/>
      <i val="1"/>
      <color rgb="FF5B6B80"/>
      <sz val="10"/>
    </font>
    <font>
      <name val="Carlito"/>
      <b val="1"/>
      <color rgb="FFFFFFFF"/>
      <sz val="11"/>
    </font>
    <font>
      <name val="Carlito"/>
      <b val="1"/>
      <color rgb="FF1D4ED8"/>
      <sz val="11"/>
    </font>
    <font>
      <name val="Carlito"/>
      <color rgb="FF5B6B80"/>
      <sz val="11"/>
    </font>
    <font>
      <name val="Carlito"/>
      <b val="1"/>
      <sz val="11"/>
    </font>
    <font>
      <name val="Carlito"/>
      <b val="1"/>
      <color rgb="FF15803D"/>
      <sz val="11"/>
    </font>
  </fonts>
  <fills count="15">
    <fill>
      <patternFill/>
    </fill>
    <fill>
      <patternFill patternType="gray125"/>
    </fill>
    <fill>
      <patternFill patternType="solid">
        <fgColor rgb="FF0B1F3A"/>
      </patternFill>
    </fill>
    <fill>
      <patternFill patternType="solid">
        <fgColor rgb="FFDDEBF7"/>
      </patternFill>
    </fill>
    <fill>
      <patternFill patternType="solid">
        <fgColor rgb="FF1B3E6F"/>
      </patternFill>
    </fill>
    <fill>
      <patternFill patternType="solid">
        <fgColor rgb="FFEAF2F8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7F9FC"/>
      </patternFill>
    </fill>
    <fill>
      <patternFill patternType="solid">
        <fgColor rgb="FF2563EB"/>
      </patternFill>
    </fill>
    <fill>
      <patternFill patternType="solid">
        <fgColor rgb="FFEAF2FE"/>
      </patternFill>
    </fill>
    <fill>
      <patternFill patternType="solid">
        <fgColor rgb="FFEAFBF0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00C6EFCE"/>
      </patternFill>
    </fill>
    <fill>
      <patternFill patternType="solid">
        <fgColor rgb="00E0E7FF"/>
      </patternFill>
    </fill>
  </fills>
  <borders count="13">
    <border>
      <left/>
      <right/>
      <top/>
      <bottom/>
      <diagonal/>
    </border>
    <border>
      <left style="thin">
        <color rgb="FF9FB3CC"/>
      </left>
      <right/>
      <top style="thin">
        <color rgb="FF9FB3CC"/>
      </top>
      <bottom style="thin">
        <color rgb="FF9FB3CC"/>
      </bottom>
      <diagonal/>
    </border>
    <border>
      <left/>
      <right/>
      <top style="thin">
        <color rgb="FF9FB3CC"/>
      </top>
      <bottom style="thin">
        <color rgb="FF9FB3CC"/>
      </bottom>
      <diagonal/>
    </border>
    <border>
      <left/>
      <right style="thin">
        <color rgb="FF9FB3CC"/>
      </right>
      <top style="thin">
        <color rgb="FF9FB3CC"/>
      </top>
      <bottom style="thin">
        <color rgb="FF9FB3CC"/>
      </bottom>
      <diagonal/>
    </border>
    <border>
      <left style="thin">
        <color rgb="FFB4C7E7"/>
      </left>
      <right/>
      <top style="thin">
        <color rgb="FFB4C7E7"/>
      </top>
      <bottom/>
      <diagonal/>
    </border>
    <border>
      <left/>
      <right/>
      <top style="thin">
        <color rgb="FFB4C7E7"/>
      </top>
      <bottom/>
      <diagonal/>
    </border>
    <border>
      <left/>
      <right style="thin">
        <color rgb="FFB4C7E7"/>
      </right>
      <top style="thin">
        <color rgb="FFB4C7E7"/>
      </top>
      <bottom/>
      <diagonal/>
    </border>
    <border>
      <left style="thin">
        <color rgb="FFB4C7E7"/>
      </left>
      <right/>
      <top/>
      <bottom/>
      <diagonal/>
    </border>
    <border>
      <left/>
      <right style="thin">
        <color rgb="FFB4C7E7"/>
      </right>
      <top/>
      <bottom/>
      <diagonal/>
    </border>
    <border>
      <left style="thin">
        <color rgb="FFB4C7E7"/>
      </left>
      <right/>
      <top/>
      <bottom style="thin">
        <color rgb="FFB4C7E7"/>
      </bottom>
      <diagonal/>
    </border>
    <border>
      <left/>
      <right/>
      <top/>
      <bottom style="thin">
        <color rgb="FFB4C7E7"/>
      </bottom>
      <diagonal/>
    </border>
    <border>
      <left/>
      <right style="thin">
        <color rgb="FFB4C7E7"/>
      </right>
      <top/>
      <bottom style="thin">
        <color rgb="FFB4C7E7"/>
      </bottom>
      <diagonal/>
    </border>
    <border>
      <left style="thin">
        <color rgb="FFDDE3EC"/>
      </left>
      <right style="thin">
        <color rgb="FFDDE3EC"/>
      </right>
      <top style="thin">
        <color rgb="FFDDE3EC"/>
      </top>
      <bottom style="thin">
        <color rgb="FFDDE3EC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center" vertical="center" wrapText="1"/>
    </xf>
    <xf numFmtId="0" fontId="4" fillId="5" borderId="0" pivotButton="0" quotePrefix="0" xfId="0"/>
    <xf numFmtId="2" fontId="4" fillId="5" borderId="0" pivotButton="0" quotePrefix="0" xfId="0"/>
    <xf numFmtId="2" fontId="5" fillId="6" borderId="0" pivotButton="0" quotePrefix="0" xfId="0"/>
    <xf numFmtId="4" fontId="5" fillId="6" borderId="0" pivotButton="0" quotePrefix="0" xfId="0"/>
    <xf numFmtId="0" fontId="4" fillId="0" borderId="0" pivotButton="0" quotePrefix="0" xfId="0"/>
    <xf numFmtId="0" fontId="3" fillId="4" borderId="4" pivotButton="0" quotePrefix="0" xfId="0"/>
    <xf numFmtId="0" fontId="3" fillId="4" borderId="5" pivotButton="0" quotePrefix="0" xfId="0"/>
    <xf numFmtId="0" fontId="3" fillId="4" borderId="6" pivotButton="0" quotePrefix="0" xfId="0"/>
    <xf numFmtId="0" fontId="4" fillId="8" borderId="7" applyAlignment="1" pivotButton="0" quotePrefix="0" xfId="0">
      <alignment wrapText="1"/>
    </xf>
    <xf numFmtId="0" fontId="4" fillId="8" borderId="0" applyAlignment="1" pivotButton="0" quotePrefix="0" xfId="0">
      <alignment wrapText="1"/>
    </xf>
    <xf numFmtId="0" fontId="4" fillId="8" borderId="8" applyAlignment="1" pivotButton="0" quotePrefix="0" xfId="0">
      <alignment wrapText="1"/>
    </xf>
    <xf numFmtId="0" fontId="4" fillId="8" borderId="9" applyAlignment="1" pivotButton="0" quotePrefix="0" xfId="0">
      <alignment wrapText="1"/>
    </xf>
    <xf numFmtId="0" fontId="4" fillId="8" borderId="10" applyAlignment="1" pivotButton="0" quotePrefix="0" xfId="0">
      <alignment wrapText="1"/>
    </xf>
    <xf numFmtId="0" fontId="4" fillId="8" borderId="11" applyAlignment="1" pivotButton="0" quotePrefix="0" xfId="0">
      <alignment wrapText="1"/>
    </xf>
    <xf numFmtId="0" fontId="9" fillId="9" borderId="12" applyAlignment="1" pivotButton="0" quotePrefix="0" xfId="0">
      <alignment horizontal="center" vertical="center" wrapText="1"/>
    </xf>
    <xf numFmtId="0" fontId="10" fillId="10" borderId="12" applyAlignment="1" pivotButton="0" quotePrefix="0" xfId="0">
      <alignment vertical="top" wrapText="1"/>
    </xf>
    <xf numFmtId="0" fontId="11" fillId="0" borderId="12" applyAlignment="1" pivotButton="0" quotePrefix="0" xfId="0">
      <alignment vertical="top" wrapText="1"/>
    </xf>
    <xf numFmtId="0" fontId="12" fillId="0" borderId="12" applyAlignment="1" pivotButton="0" quotePrefix="0" xfId="0">
      <alignment vertical="top" wrapText="1"/>
    </xf>
    <xf numFmtId="0" fontId="0" fillId="0" borderId="12" applyAlignment="1" pivotButton="0" quotePrefix="0" xfId="0">
      <alignment vertical="top" wrapText="1"/>
    </xf>
    <xf numFmtId="0" fontId="13" fillId="11" borderId="12" applyAlignment="1" pivotButton="0" quotePrefix="0" xfId="0">
      <alignment vertical="top" wrapText="1"/>
    </xf>
    <xf numFmtId="0" fontId="6" fillId="7" borderId="0" applyAlignment="1" pivotButton="0" quotePrefix="0" xfId="0">
      <alignment wrapText="1"/>
    </xf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wrapText="1"/>
    </xf>
    <xf numFmtId="0" fontId="1" fillId="2" borderId="0" applyAlignment="1" pivotButton="0" quotePrefix="0" xfId="0">
      <alignment horizontal="left" vertical="center"/>
    </xf>
    <xf numFmtId="0" fontId="8" fillId="0" borderId="0" pivotButton="0" quotePrefix="0" xfId="0"/>
    <xf numFmtId="0" fontId="7" fillId="0" borderId="0" pivotButton="0" quotePrefix="0" xfId="0"/>
    <xf numFmtId="0" fontId="4" fillId="12" borderId="0" pivotButton="0" quotePrefix="0" xfId="0"/>
    <xf numFmtId="2" fontId="4" fillId="12" borderId="0" pivotButton="0" quotePrefix="0" xfId="0"/>
    <xf numFmtId="2" fontId="5" fillId="12" borderId="0" pivotButton="0" quotePrefix="0" xfId="0"/>
    <xf numFmtId="4" fontId="5" fillId="12" borderId="0" pivotButton="0" quotePrefix="0" xfId="0"/>
    <xf numFmtId="0" fontId="4" fillId="13" borderId="0" pivotButton="0" quotePrefix="0" xfId="0"/>
    <xf numFmtId="2" fontId="4" fillId="13" borderId="0" pivotButton="0" quotePrefix="0" xfId="0"/>
    <xf numFmtId="0" fontId="4" fillId="14" borderId="0" pivotButton="0" quotePrefix="0" xfId="0"/>
    <xf numFmtId="2" fontId="4" fillId="1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BESSModelLibrary" displayName="BESSModelLibrary" ref="A3:R103" headerRowCount="1" totalsRowShown="0">
  <tableColumns count="18">
    <tableColumn id="1" name="Model_ID"/>
    <tableColumn id="2" name="Brand"/>
    <tableColumn id="3" name="Model_Name"/>
    <tableColumn id="4" name="Gross_Pack_kWh"/>
    <tableColumn id="5" name="Min_SOC_pct"/>
    <tableColumn id="6" name="Max_SOC_pct"/>
    <tableColumn id="7" name="RTE_pct"/>
    <tableColumn id="8" name="Aux_Retention_pct"/>
    <tableColumn id="9" name="Pack_Rated_Power_kW"/>
    <tableColumn id="10" name="PCS_Rated_Power_kW"/>
    <tableColumn id="11" name="First_Year_Degradation_pct"/>
    <tableColumn id="12" name="Annual_Degradation_pct_Years_2_to_15"/>
    <tableColumn id="13" name="RTE_Definition"/>
    <tableColumn id="14" name="Degradation_Notes"/>
    <tableColumn id="15" name="Source_Notes"/>
    <tableColumn id="16" name="Calculated_DoD_pct"/>
    <tableColumn id="17" name="Year15_SOH_pct"/>
    <tableColumn id="18" name="Year15_Usable_kW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selection activeCell="E29" sqref="E29"/>
    </sheetView>
  </sheetViews>
  <sheetFormatPr baseColWidth="8" defaultRowHeight="15"/>
  <cols>
    <col width="34" customWidth="1" style="25" min="1" max="1"/>
    <col width="12" customWidth="1" style="25" min="2" max="2"/>
    <col width="14" customWidth="1" style="25" min="3" max="3"/>
    <col width="65" customWidth="1" style="25" min="4" max="4"/>
    <col width="26" customWidth="1" style="25" min="5" max="5"/>
  </cols>
  <sheetData>
    <row r="1" ht="27.95" customHeight="1" s="25">
      <c r="A1" s="26" t="inlineStr">
        <is>
          <t>Instructions &amp; Data Dictionary</t>
        </is>
      </c>
    </row>
    <row r="2">
      <c r="A2" s="24" t="inlineStr">
        <is>
          <t>The HTML sizes energy for design year 15. Power is not degradation-derated unless a future manufacturer-specific power-retention field is added.</t>
        </is>
      </c>
    </row>
    <row r="3">
      <c r="A3" s="8" t="n"/>
      <c r="B3" s="8" t="n"/>
      <c r="C3" s="8" t="n"/>
      <c r="D3" s="8" t="n"/>
      <c r="E3" s="8" t="n"/>
    </row>
    <row r="4">
      <c r="A4" s="9" t="inlineStr">
        <is>
          <t>Field</t>
        </is>
      </c>
      <c r="B4" s="10" t="inlineStr">
        <is>
          <t>Required</t>
        </is>
      </c>
      <c r="C4" s="10" t="inlineStr">
        <is>
          <t>Unit</t>
        </is>
      </c>
      <c r="D4" s="10" t="inlineStr">
        <is>
          <t>Definition</t>
        </is>
      </c>
      <c r="E4" s="11" t="inlineStr">
        <is>
          <t>Example</t>
        </is>
      </c>
    </row>
    <row r="5">
      <c r="A5" s="12" t="inlineStr">
        <is>
          <t>Model_ID</t>
        </is>
      </c>
      <c r="B5" s="13" t="inlineStr">
        <is>
          <t>Yes</t>
        </is>
      </c>
      <c r="C5" s="13" t="inlineStr">
        <is>
          <t>Text</t>
        </is>
      </c>
      <c r="D5" s="13" t="inlineStr">
        <is>
          <t>Unique stable identifier. Duplicate IDs are rejected.</t>
        </is>
      </c>
      <c r="E5" s="14" t="inlineStr">
        <is>
          <t>custom-default</t>
        </is>
      </c>
    </row>
    <row r="6">
      <c r="A6" s="12" t="inlineStr">
        <is>
          <t>Brand</t>
        </is>
      </c>
      <c r="B6" s="13" t="inlineStr">
        <is>
          <t>No</t>
        </is>
      </c>
      <c r="C6" s="13" t="inlineStr">
        <is>
          <t>Text</t>
        </is>
      </c>
      <c r="D6" s="13" t="inlineStr">
        <is>
          <t>Manufacturer or supplier name.</t>
        </is>
      </c>
      <c r="E6" s="14" t="inlineStr">
        <is>
          <t>Example Energy</t>
        </is>
      </c>
    </row>
    <row r="7">
      <c r="A7" s="12" t="inlineStr">
        <is>
          <t>Model_Name</t>
        </is>
      </c>
      <c r="B7" s="13" t="inlineStr">
        <is>
          <t>Yes</t>
        </is>
      </c>
      <c r="C7" s="13" t="inlineStr">
        <is>
          <t>Text</t>
        </is>
      </c>
      <c r="D7" s="13" t="inlineStr">
        <is>
          <t>Customer-facing battery model name.</t>
        </is>
      </c>
      <c r="E7" s="14" t="inlineStr">
        <is>
          <t>Custom Model</t>
        </is>
      </c>
    </row>
    <row r="8">
      <c r="A8" s="12" t="inlineStr">
        <is>
          <t>Gross_Pack_kWh</t>
        </is>
      </c>
      <c r="B8" s="13" t="inlineStr">
        <is>
          <t>Yes</t>
        </is>
      </c>
      <c r="C8" s="13" t="inlineStr">
        <is>
          <t>kWh</t>
        </is>
      </c>
      <c r="D8" s="13" t="inlineStr">
        <is>
          <t>Nameplate energy of one battery pack/container.</t>
        </is>
      </c>
      <c r="E8" s="14" t="inlineStr">
        <is>
          <t>2250</t>
        </is>
      </c>
    </row>
    <row r="9">
      <c r="A9" s="12" t="inlineStr">
        <is>
          <t>Min_SOC_pct</t>
        </is>
      </c>
      <c r="B9" s="13" t="inlineStr">
        <is>
          <t>Yes</t>
        </is>
      </c>
      <c r="C9" s="13" t="inlineStr">
        <is>
          <t>%</t>
        </is>
      </c>
      <c r="D9" s="13" t="inlineStr">
        <is>
          <t>Minimum permitted SOC. DoD = Max SOC - Min SOC.</t>
        </is>
      </c>
      <c r="E9" s="14" t="inlineStr">
        <is>
          <t>5</t>
        </is>
      </c>
    </row>
    <row r="10">
      <c r="A10" s="12" t="inlineStr">
        <is>
          <t>Max_SOC_pct</t>
        </is>
      </c>
      <c r="B10" s="13" t="inlineStr">
        <is>
          <t>Yes</t>
        </is>
      </c>
      <c r="C10" s="13" t="inlineStr">
        <is>
          <t>%</t>
        </is>
      </c>
      <c r="D10" s="13" t="inlineStr">
        <is>
          <t>Maximum permitted SOC; must exceed Min SOC.</t>
        </is>
      </c>
      <c r="E10" s="14" t="inlineStr">
        <is>
          <t>100</t>
        </is>
      </c>
    </row>
    <row r="11">
      <c r="A11" s="12" t="inlineStr">
        <is>
          <t>RTE_pct</t>
        </is>
      </c>
      <c r="B11" s="13" t="inlineStr">
        <is>
          <t>Yes</t>
        </is>
      </c>
      <c r="C11" s="13" t="inlineStr">
        <is>
          <t>%</t>
        </is>
      </c>
      <c r="D11" s="13" t="inlineStr">
        <is>
          <t>Round-trip efficiency. State the measurement boundary in RTE_Definition.</t>
        </is>
      </c>
      <c r="E11" s="14" t="inlineStr">
        <is>
          <t>85</t>
        </is>
      </c>
    </row>
    <row r="12">
      <c r="A12" s="12" t="inlineStr">
        <is>
          <t>Aux_Retention_pct</t>
        </is>
      </c>
      <c r="B12" s="13" t="inlineStr">
        <is>
          <t>Yes</t>
        </is>
      </c>
      <c r="C12" s="13" t="inlineStr">
        <is>
          <t>%</t>
        </is>
      </c>
      <c r="D12" s="13" t="inlineStr">
        <is>
          <t>Energy retained after auxiliary consumption. 98% means 2% auxiliary loss.</t>
        </is>
      </c>
      <c r="E12" s="14" t="inlineStr">
        <is>
          <t>98</t>
        </is>
      </c>
    </row>
    <row r="13" ht="30" customHeight="1" s="25">
      <c r="A13" s="12" t="inlineStr">
        <is>
          <t>Pack_Rated_Power_kW</t>
        </is>
      </c>
      <c r="B13" s="13" t="inlineStr">
        <is>
          <t>Yes</t>
        </is>
      </c>
      <c r="C13" s="13" t="inlineStr">
        <is>
          <t>kW</t>
        </is>
      </c>
      <c r="D13" s="13" t="inlineStr">
        <is>
          <t>Continuous/rated discharge power per pack used for power-constrained checks.</t>
        </is>
      </c>
      <c r="E13" s="14" t="inlineStr">
        <is>
          <t>1125</t>
        </is>
      </c>
    </row>
    <row r="14">
      <c r="A14" s="12" t="inlineStr">
        <is>
          <t>PCS_Rated_Power_kW</t>
        </is>
      </c>
      <c r="B14" s="13" t="inlineStr">
        <is>
          <t>Yes</t>
        </is>
      </c>
      <c r="C14" s="13" t="inlineStr">
        <is>
          <t>kW</t>
        </is>
      </c>
      <c r="D14" s="13" t="inlineStr">
        <is>
          <t>Rated power of one PCS unit.</t>
        </is>
      </c>
      <c r="E14" s="14" t="inlineStr">
        <is>
          <t>1125</t>
        </is>
      </c>
    </row>
    <row r="15">
      <c r="A15" s="12" t="inlineStr">
        <is>
          <t>First_Year_Degradation_pct</t>
        </is>
      </c>
      <c r="B15" s="13" t="inlineStr">
        <is>
          <t>Yes</t>
        </is>
      </c>
      <c r="C15" s="13" t="inlineStr">
        <is>
          <t>%</t>
        </is>
      </c>
      <c r="D15" s="13" t="inlineStr">
        <is>
          <t>Capacity loss applied during year 1.</t>
        </is>
      </c>
      <c r="E15" s="14" t="inlineStr">
        <is>
          <t>2</t>
        </is>
      </c>
    </row>
    <row r="16" ht="30" customHeight="1" s="25">
      <c r="A16" s="12" t="inlineStr">
        <is>
          <t>Annual_Degradation_pct_Years_2_to_15</t>
        </is>
      </c>
      <c r="B16" s="13" t="inlineStr">
        <is>
          <t>Yes</t>
        </is>
      </c>
      <c r="C16" s="13" t="inlineStr">
        <is>
          <t>%/year</t>
        </is>
      </c>
      <c r="D16" s="13" t="inlineStr">
        <is>
          <t>Annual compounded capacity loss for years 2 through 15.</t>
        </is>
      </c>
      <c r="E16" s="14" t="inlineStr">
        <is>
          <t>1</t>
        </is>
      </c>
    </row>
    <row r="17">
      <c r="A17" s="12" t="inlineStr">
        <is>
          <t>RTE_Definition</t>
        </is>
      </c>
      <c r="B17" s="13" t="inlineStr">
        <is>
          <t>Yes</t>
        </is>
      </c>
      <c r="C17" s="13" t="inlineStr">
        <is>
          <t>Text</t>
        </is>
      </c>
      <c r="D17" s="13" t="inlineStr">
        <is>
          <t>Examples: AC-to-AC system RTE or battery DC RTE.</t>
        </is>
      </c>
      <c r="E17" s="14" t="inlineStr">
        <is>
          <t>AC-to-AC system RTE</t>
        </is>
      </c>
    </row>
    <row r="18">
      <c r="A18" s="12" t="inlineStr">
        <is>
          <t>Degradation_Notes</t>
        </is>
      </c>
      <c r="B18" s="13" t="inlineStr">
        <is>
          <t>No</t>
        </is>
      </c>
      <c r="C18" s="13" t="inlineStr">
        <is>
          <t>Text</t>
        </is>
      </c>
      <c r="D18" s="13" t="inlineStr">
        <is>
          <t>Manufacturer degradation assumptions or warranty reference.</t>
        </is>
      </c>
      <c r="E18" s="14" t="n"/>
    </row>
    <row r="19">
      <c r="A19" s="12" t="inlineStr">
        <is>
          <t>Source_Notes</t>
        </is>
      </c>
      <c r="B19" s="13" t="inlineStr">
        <is>
          <t>No</t>
        </is>
      </c>
      <c r="C19" s="13" t="inlineStr">
        <is>
          <t>Text</t>
        </is>
      </c>
      <c r="D19" s="13" t="inlineStr">
        <is>
          <t>Datasheet filename, revision, URL or verification note.</t>
        </is>
      </c>
      <c r="E19" s="14" t="n"/>
    </row>
    <row r="20">
      <c r="A20" s="12" t="inlineStr">
        <is>
          <t>Calculated_DoD_pct</t>
        </is>
      </c>
      <c r="B20" s="13" t="inlineStr">
        <is>
          <t>Formula</t>
        </is>
      </c>
      <c r="C20" s="13" t="inlineStr">
        <is>
          <t>%</t>
        </is>
      </c>
      <c r="D20" s="13" t="inlineStr">
        <is>
          <t>Max_SOC_pct - Min_SOC_pct.</t>
        </is>
      </c>
      <c r="E20" s="14" t="inlineStr">
        <is>
          <t>95</t>
        </is>
      </c>
    </row>
    <row r="21">
      <c r="A21" s="12" t="inlineStr">
        <is>
          <t>Year15_SOH_pct</t>
        </is>
      </c>
      <c r="B21" s="13" t="inlineStr">
        <is>
          <t>Formula</t>
        </is>
      </c>
      <c r="C21" s="13" t="inlineStr">
        <is>
          <t>%</t>
        </is>
      </c>
      <c r="D21" s="13" t="inlineStr">
        <is>
          <t>(1-first-year degradation) x (1-subsequent annual degradation)^14.</t>
        </is>
      </c>
      <c r="E21" s="14" t="inlineStr">
        <is>
          <t>85.14</t>
        </is>
      </c>
    </row>
    <row r="22">
      <c r="A22" s="15" t="inlineStr">
        <is>
          <t>Year15_Usable_kWh</t>
        </is>
      </c>
      <c r="B22" s="16" t="inlineStr">
        <is>
          <t>Formula</t>
        </is>
      </c>
      <c r="C22" s="16" t="inlineStr">
        <is>
          <t>kWh</t>
        </is>
      </c>
      <c r="D22" s="16" t="inlineStr">
        <is>
          <t>Gross x DoD x RTE x Aux retention x Year-15 SOH.</t>
        </is>
      </c>
      <c r="E22" s="17" t="inlineStr">
        <is>
          <t>1515.95</t>
        </is>
      </c>
    </row>
    <row r="23">
      <c r="A23" s="8" t="n"/>
      <c r="B23" s="8" t="n"/>
      <c r="C23" s="8" t="n"/>
      <c r="D23" s="8" t="n"/>
      <c r="E23" s="8" t="n"/>
    </row>
    <row r="24">
      <c r="A24" s="8" t="n"/>
      <c r="B24" s="8" t="n"/>
      <c r="C24" s="8" t="n"/>
      <c r="D24" s="8" t="n"/>
      <c r="E24" s="8" t="n"/>
    </row>
  </sheetData>
  <mergeCells count="2">
    <mergeCell ref="A2:E2"/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00B050"/>
    <outlinePr summaryBelow="1" summaryRight="1"/>
    <pageSetUpPr/>
  </sheetPr>
  <dimension ref="A1:R103"/>
  <sheetViews>
    <sheetView showGridLines="0" tabSelected="1" workbookViewId="0">
      <selection activeCell="A4" sqref="A4:R9"/>
    </sheetView>
  </sheetViews>
  <sheetFormatPr baseColWidth="8" defaultRowHeight="15"/>
  <cols>
    <col width="18" customWidth="1" style="25" min="1" max="1"/>
    <col width="16" customWidth="1" style="25" min="2" max="2"/>
    <col width="35.75" bestFit="1" customWidth="1" style="25" min="3" max="3"/>
    <col width="16" customWidth="1" style="25" min="4" max="4"/>
    <col width="14" customWidth="1" style="25" min="5" max="6"/>
    <col width="12" customWidth="1" style="25" min="7" max="7"/>
    <col width="19" customWidth="1" style="25" min="8" max="8"/>
    <col width="20" customWidth="1" style="25" min="9" max="9"/>
    <col width="19" customWidth="1" style="25" min="10" max="10"/>
    <col width="22" customWidth="1" style="25" min="11" max="11"/>
    <col width="29" customWidth="1" style="25" min="12" max="12"/>
    <col width="24" customWidth="1" style="25" min="13" max="13"/>
    <col width="28" customWidth="1" style="25" min="14" max="14"/>
    <col width="30" customWidth="1" style="25" min="15" max="15"/>
    <col width="18" customWidth="1" style="25" min="16" max="16"/>
    <col width="17" customWidth="1" style="25" min="17" max="17"/>
    <col width="21" customWidth="1" style="25" min="18" max="18"/>
  </cols>
  <sheetData>
    <row r="1" ht="27.95" customHeight="1" s="25">
      <c r="A1" s="28" t="inlineStr">
        <is>
          <t>BESS Battery &amp; PCS Library Import Template</t>
        </is>
      </c>
    </row>
    <row r="2" ht="33.95" customHeight="1" s="25">
      <c r="A2" s="27" t="inlineStr">
        <is>
          <t>Complete the blue input columns only. Keep Model_ID unique. Calculated green columns are audit outputs; the HTML recalculates them on import.</t>
        </is>
      </c>
    </row>
    <row r="3" ht="42" customHeight="1" s="25">
      <c r="A3" s="1" t="inlineStr">
        <is>
          <t>Model_ID</t>
        </is>
      </c>
      <c r="B3" s="2" t="inlineStr">
        <is>
          <t>Brand</t>
        </is>
      </c>
      <c r="C3" s="2" t="inlineStr">
        <is>
          <t>Model_Name</t>
        </is>
      </c>
      <c r="D3" s="2" t="inlineStr">
        <is>
          <t>Gross_Pack_kWh</t>
        </is>
      </c>
      <c r="E3" s="2" t="inlineStr">
        <is>
          <t>Min_SOC_pct</t>
        </is>
      </c>
      <c r="F3" s="2" t="inlineStr">
        <is>
          <t>Max_SOC_pct</t>
        </is>
      </c>
      <c r="G3" s="2" t="inlineStr">
        <is>
          <t>RTE_pct</t>
        </is>
      </c>
      <c r="H3" s="2" t="inlineStr">
        <is>
          <t>Aux_Retention_pct</t>
        </is>
      </c>
      <c r="I3" s="2" t="inlineStr">
        <is>
          <t>Pack_Rated_Power_kW</t>
        </is>
      </c>
      <c r="J3" s="2" t="inlineStr">
        <is>
          <t>PCS_Rated_Power_kW</t>
        </is>
      </c>
      <c r="K3" s="2" t="inlineStr">
        <is>
          <t>First_Year_Degradation_pct</t>
        </is>
      </c>
      <c r="L3" s="2" t="inlineStr">
        <is>
          <t>Annual_Degradation_pct_Years_2_to_15</t>
        </is>
      </c>
      <c r="M3" s="2" t="inlineStr">
        <is>
          <t>RTE_Definition</t>
        </is>
      </c>
      <c r="N3" s="2" t="inlineStr">
        <is>
          <t>Degradation_Notes</t>
        </is>
      </c>
      <c r="O3" s="2" t="inlineStr">
        <is>
          <t>Source_Notes</t>
        </is>
      </c>
      <c r="P3" s="2" t="inlineStr">
        <is>
          <t>Calculated_DoD_pct</t>
        </is>
      </c>
      <c r="Q3" s="2" t="inlineStr">
        <is>
          <t>Year15_SOH_pct</t>
        </is>
      </c>
      <c r="R3" s="3" t="inlineStr">
        <is>
          <t>Year15_Usable_kWh</t>
        </is>
      </c>
    </row>
    <row r="4">
      <c r="A4" s="37" t="inlineStr">
        <is>
          <t>custom-default</t>
        </is>
      </c>
      <c r="B4" s="37" t="inlineStr"/>
      <c r="C4" s="37" t="inlineStr">
        <is>
          <t>Custom Model</t>
        </is>
      </c>
      <c r="D4" s="38" t="n">
        <v>1000</v>
      </c>
      <c r="E4" s="38" t="n">
        <v>5</v>
      </c>
      <c r="F4" s="38" t="n">
        <v>100</v>
      </c>
      <c r="G4" s="38" t="n">
        <v>90</v>
      </c>
      <c r="H4" s="38" t="n">
        <v>98</v>
      </c>
      <c r="I4" s="38" t="n">
        <v>500</v>
      </c>
      <c r="J4" s="38" t="n">
        <v>500</v>
      </c>
      <c r="K4" s="38" t="n">
        <v>0</v>
      </c>
      <c r="L4" s="38" t="n">
        <v>1</v>
      </c>
      <c r="M4" s="37" t="inlineStr">
        <is>
          <t>AC-to-AC system RTE</t>
        </is>
      </c>
      <c r="N4" s="37" t="inlineStr"/>
      <c r="O4" s="37" t="inlineStr">
        <is>
          <t>Default configurable pack</t>
        </is>
      </c>
      <c r="P4" s="33">
        <f>IF($A4="","",$F4-$E4)</f>
        <v/>
      </c>
      <c r="Q4" s="33">
        <f>IF($A4="","",(1-$K4/100)*(1-$L4/100)^14*100)</f>
        <v/>
      </c>
      <c r="R4" s="34">
        <f>IF($A4="","",$D4*($P4/100)*($G4/100)*($H4/100)*($Q4/100))</f>
        <v/>
      </c>
    </row>
    <row r="5">
      <c r="A5" s="37" t="inlineStr">
        <is>
          <t>huawei-luna-2000</t>
        </is>
      </c>
      <c r="B5" s="37" t="inlineStr">
        <is>
          <t>Huawei</t>
        </is>
      </c>
      <c r="C5" s="37" t="inlineStr">
        <is>
          <t>Luna 2000-215</t>
        </is>
      </c>
      <c r="D5" s="38" t="n">
        <v>215</v>
      </c>
      <c r="E5" s="38" t="n">
        <v>5</v>
      </c>
      <c r="F5" s="38" t="n">
        <v>100</v>
      </c>
      <c r="G5" s="38" t="n">
        <v>90</v>
      </c>
      <c r="H5" s="38" t="n">
        <v>98</v>
      </c>
      <c r="I5" s="38" t="n">
        <v>100</v>
      </c>
      <c r="J5" s="38" t="n">
        <v>100</v>
      </c>
      <c r="K5" s="38" t="n">
        <v>2</v>
      </c>
      <c r="L5" s="38" t="n">
        <v>1</v>
      </c>
      <c r="M5" s="37" t="inlineStr">
        <is>
          <t>AC-to-AC system RTE</t>
        </is>
      </c>
      <c r="N5" s="37" t="inlineStr">
        <is>
          <t>Illustrative reference values - verify against the current manufacturer datasheet before use.</t>
        </is>
      </c>
      <c r="O5" s="37" t="inlineStr">
        <is>
          <t>Huawei Luna 2000-215 commercial &amp; industrial ESS (approximate nameplate figures).</t>
        </is>
      </c>
      <c r="P5" s="33">
        <f>IF($A5="","",$F5-$E5)</f>
        <v/>
      </c>
      <c r="Q5" s="33">
        <f>IF($A5="","",(1-$K5/100)*(1-$L5/100)^14*100)</f>
        <v/>
      </c>
      <c r="R5" s="34">
        <f>IF($A5="","",$D5*($P5/100)*($G5/100)*($H5/100)*($Q5/100))</f>
        <v/>
      </c>
    </row>
    <row r="6">
      <c r="A6" s="37" t="inlineStr">
        <is>
          <t>byd-mc-cube</t>
        </is>
      </c>
      <c r="B6" s="37" t="inlineStr">
        <is>
          <t>BYD</t>
        </is>
      </c>
      <c r="C6" s="37" t="inlineStr">
        <is>
          <t>MC Cube</t>
        </is>
      </c>
      <c r="D6" s="38" t="n">
        <v>262</v>
      </c>
      <c r="E6" s="38" t="n">
        <v>5</v>
      </c>
      <c r="F6" s="38" t="n">
        <v>100</v>
      </c>
      <c r="G6" s="38" t="n">
        <v>90</v>
      </c>
      <c r="H6" s="38" t="n">
        <v>98</v>
      </c>
      <c r="I6" s="38" t="n">
        <v>130</v>
      </c>
      <c r="J6" s="38" t="n">
        <v>130</v>
      </c>
      <c r="K6" s="38" t="n">
        <v>2</v>
      </c>
      <c r="L6" s="38" t="n">
        <v>1</v>
      </c>
      <c r="M6" s="37" t="inlineStr">
        <is>
          <t>AC-to-AC system RTE</t>
        </is>
      </c>
      <c r="N6" s="37" t="inlineStr">
        <is>
          <t>Illustrative reference values - verify against the current manufacturer datasheet before use.</t>
        </is>
      </c>
      <c r="O6" s="37" t="inlineStr">
        <is>
          <t>BYD MC Cube commercial &amp; industrial ESS (approximate nameplate figures).</t>
        </is>
      </c>
      <c r="P6" s="33">
        <f>IF($A6="","",$F6-$E6)</f>
        <v/>
      </c>
      <c r="Q6" s="33">
        <f>IF($A6="","",(1-$K6/100)*(1-$L6/100)^14*100)</f>
        <v/>
      </c>
      <c r="R6" s="34">
        <f>IF($A6="","",$D6*($P6/100)*($G6/100)*($H6/100)*($Q6/100))</f>
        <v/>
      </c>
    </row>
    <row r="7">
      <c r="A7" s="37" t="inlineStr">
        <is>
          <t>catl-enerone</t>
        </is>
      </c>
      <c r="B7" s="37" t="inlineStr">
        <is>
          <t>CATL</t>
        </is>
      </c>
      <c r="C7" s="37" t="inlineStr">
        <is>
          <t>EnerOne</t>
        </is>
      </c>
      <c r="D7" s="38" t="n">
        <v>372</v>
      </c>
      <c r="E7" s="38" t="n">
        <v>5</v>
      </c>
      <c r="F7" s="38" t="n">
        <v>100</v>
      </c>
      <c r="G7" s="38" t="n">
        <v>90</v>
      </c>
      <c r="H7" s="38" t="n">
        <v>98</v>
      </c>
      <c r="I7" s="38" t="n">
        <v>186</v>
      </c>
      <c r="J7" s="38" t="n">
        <v>186</v>
      </c>
      <c r="K7" s="38" t="n">
        <v>2</v>
      </c>
      <c r="L7" s="38" t="n">
        <v>1</v>
      </c>
      <c r="M7" s="37" t="inlineStr">
        <is>
          <t>AC-to-AC system RTE</t>
        </is>
      </c>
      <c r="N7" s="37" t="inlineStr">
        <is>
          <t>Illustrative reference values - verify against the current manufacturer datasheet before use.</t>
        </is>
      </c>
      <c r="O7" s="37" t="inlineStr">
        <is>
          <t>CATL EnerOne liquid-cooled rack (C&amp;I) - approximate nameplate figures.</t>
        </is>
      </c>
      <c r="P7" s="33">
        <f>IF($A7="","",$F7-$E7)</f>
        <v/>
      </c>
      <c r="Q7" s="33">
        <f>IF($A7="","",(1-$K7/100)*(1-$L7/100)^14*100)</f>
        <v/>
      </c>
      <c r="R7" s="34">
        <f>IF($A7="","",$D7*($P7/100)*($G7/100)*($H7/100)*($Q7/100))</f>
        <v/>
      </c>
    </row>
    <row r="8">
      <c r="A8" s="37" t="inlineStr">
        <is>
          <t>tesla-megapack-2xl</t>
        </is>
      </c>
      <c r="B8" s="37" t="inlineStr">
        <is>
          <t>Tesla</t>
        </is>
      </c>
      <c r="C8" s="37" t="inlineStr">
        <is>
          <t>Megapack 2 XL</t>
        </is>
      </c>
      <c r="D8" s="38" t="n">
        <v>3900</v>
      </c>
      <c r="E8" s="38" t="n">
        <v>5</v>
      </c>
      <c r="F8" s="38" t="n">
        <v>100</v>
      </c>
      <c r="G8" s="38" t="n">
        <v>92</v>
      </c>
      <c r="H8" s="38" t="n">
        <v>99</v>
      </c>
      <c r="I8" s="38" t="n">
        <v>1925</v>
      </c>
      <c r="J8" s="38" t="n">
        <v>1925</v>
      </c>
      <c r="K8" s="38" t="n">
        <v>2</v>
      </c>
      <c r="L8" s="38" t="n">
        <v>0.5</v>
      </c>
      <c r="M8" s="37" t="inlineStr">
        <is>
          <t>AC-to-AC system RTE</t>
        </is>
      </c>
      <c r="N8" s="37" t="inlineStr">
        <is>
          <t>Illustrative reference values - verify against the current manufacturer datasheet before use.</t>
        </is>
      </c>
      <c r="O8" s="37" t="inlineStr">
        <is>
          <t>Tesla Megapack 2 XL (utility/C&amp;I) - approximate nameplate figures.</t>
        </is>
      </c>
      <c r="P8" s="33">
        <f>IF($A8="","",$F8-$E8)</f>
        <v/>
      </c>
      <c r="Q8" s="33">
        <f>IF($A8="","",(1-$K8/100)*(1-$L8/100)^14*100)</f>
        <v/>
      </c>
      <c r="R8" s="34">
        <f>IF($A8="","",$D8*($P8/100)*($G8/100)*($H8/100)*($Q8/100))</f>
        <v/>
      </c>
    </row>
    <row r="9">
      <c r="A9" s="37" t="n"/>
      <c r="B9" s="37" t="n"/>
      <c r="C9" s="37" t="n"/>
      <c r="D9" s="38" t="n"/>
      <c r="E9" s="38" t="n"/>
      <c r="F9" s="38" t="n"/>
      <c r="G9" s="38" t="n"/>
      <c r="H9" s="38" t="n"/>
      <c r="I9" s="38" t="n"/>
      <c r="J9" s="38" t="n"/>
      <c r="K9" s="38" t="n"/>
      <c r="L9" s="38" t="n"/>
      <c r="M9" s="37" t="n"/>
      <c r="N9" s="37" t="n"/>
      <c r="O9" s="37" t="n"/>
      <c r="P9" s="33" t="n"/>
      <c r="Q9" s="33" t="n"/>
      <c r="R9" s="34" t="n"/>
    </row>
    <row r="10">
      <c r="A10" s="37" t="n"/>
      <c r="B10" s="37" t="n"/>
      <c r="C10" s="37" t="n"/>
      <c r="D10" s="38" t="n"/>
      <c r="E10" s="38" t="n"/>
      <c r="F10" s="38" t="n"/>
      <c r="G10" s="38" t="n"/>
      <c r="H10" s="38" t="n"/>
      <c r="I10" s="38" t="n"/>
      <c r="J10" s="38" t="n"/>
      <c r="K10" s="38" t="n"/>
      <c r="L10" s="38" t="n"/>
      <c r="M10" s="37" t="n"/>
      <c r="N10" s="37" t="n"/>
      <c r="O10" s="37" t="n"/>
      <c r="P10" s="6" t="n"/>
      <c r="Q10" s="6" t="n"/>
      <c r="R10" s="7" t="n"/>
    </row>
    <row r="11">
      <c r="A11" s="37" t="n"/>
      <c r="B11" s="37" t="n"/>
      <c r="C11" s="37" t="n"/>
      <c r="D11" s="38" t="n"/>
      <c r="E11" s="38" t="n"/>
      <c r="F11" s="38" t="n"/>
      <c r="G11" s="38" t="n"/>
      <c r="H11" s="38" t="n"/>
      <c r="I11" s="38" t="n"/>
      <c r="J11" s="38" t="n"/>
      <c r="K11" s="38" t="n"/>
      <c r="L11" s="38" t="n"/>
      <c r="M11" s="37" t="n"/>
      <c r="N11" s="37" t="n"/>
      <c r="O11" s="37" t="n"/>
      <c r="P11" s="6" t="n"/>
      <c r="Q11" s="6" t="n"/>
      <c r="R11" s="7" t="n"/>
    </row>
    <row r="12">
      <c r="A12" s="37" t="n"/>
      <c r="B12" s="37" t="n"/>
      <c r="C12" s="37" t="n"/>
      <c r="D12" s="38" t="n"/>
      <c r="E12" s="38" t="n"/>
      <c r="F12" s="38" t="n"/>
      <c r="G12" s="38" t="n"/>
      <c r="H12" s="38" t="n"/>
      <c r="I12" s="38" t="n"/>
      <c r="J12" s="38" t="n"/>
      <c r="K12" s="38" t="n"/>
      <c r="L12" s="38" t="n"/>
      <c r="M12" s="37" t="n"/>
      <c r="N12" s="37" t="n"/>
      <c r="O12" s="37" t="n"/>
      <c r="P12" s="6" t="n"/>
      <c r="Q12" s="6" t="n"/>
      <c r="R12" s="7" t="n"/>
    </row>
    <row r="13">
      <c r="A13" s="37" t="n"/>
      <c r="B13" s="37" t="n"/>
      <c r="C13" s="37" t="n"/>
      <c r="D13" s="38" t="n"/>
      <c r="E13" s="38" t="n"/>
      <c r="F13" s="38" t="n"/>
      <c r="G13" s="38" t="n"/>
      <c r="H13" s="38" t="n"/>
      <c r="I13" s="38" t="n"/>
      <c r="J13" s="38" t="n"/>
      <c r="K13" s="38" t="n"/>
      <c r="L13" s="38" t="n"/>
      <c r="M13" s="37" t="n"/>
      <c r="N13" s="37" t="n"/>
      <c r="O13" s="37" t="n"/>
      <c r="P13" s="6" t="n"/>
      <c r="Q13" s="6" t="n"/>
      <c r="R13" s="7" t="n"/>
    </row>
    <row r="14">
      <c r="A14" s="37" t="n"/>
      <c r="B14" s="37" t="n"/>
      <c r="C14" s="37" t="n"/>
      <c r="D14" s="38" t="n"/>
      <c r="E14" s="38" t="n"/>
      <c r="F14" s="38" t="n"/>
      <c r="G14" s="38" t="n"/>
      <c r="H14" s="38" t="n"/>
      <c r="I14" s="38" t="n"/>
      <c r="J14" s="38" t="n"/>
      <c r="K14" s="38" t="n"/>
      <c r="L14" s="38" t="n"/>
      <c r="M14" s="37" t="n"/>
      <c r="N14" s="37" t="n"/>
      <c r="O14" s="37" t="n"/>
      <c r="P14" s="6" t="n"/>
      <c r="Q14" s="6" t="n"/>
      <c r="R14" s="7" t="n"/>
    </row>
    <row r="15">
      <c r="A15" s="37" t="n"/>
      <c r="B15" s="37" t="n"/>
      <c r="C15" s="37" t="n"/>
      <c r="D15" s="38" t="n"/>
      <c r="E15" s="38" t="n"/>
      <c r="F15" s="38" t="n"/>
      <c r="G15" s="38" t="n"/>
      <c r="H15" s="38" t="n"/>
      <c r="I15" s="38" t="n"/>
      <c r="J15" s="38" t="n"/>
      <c r="K15" s="38" t="n"/>
      <c r="L15" s="38" t="n"/>
      <c r="M15" s="37" t="n"/>
      <c r="N15" s="37" t="n"/>
      <c r="O15" s="37" t="n"/>
      <c r="P15" s="6" t="n"/>
      <c r="Q15" s="6" t="n"/>
      <c r="R15" s="7" t="n"/>
    </row>
    <row r="16">
      <c r="A16" s="37" t="n"/>
      <c r="B16" s="37" t="n"/>
      <c r="C16" s="37" t="n"/>
      <c r="D16" s="38" t="n"/>
      <c r="E16" s="38" t="n"/>
      <c r="F16" s="38" t="n"/>
      <c r="G16" s="38" t="n"/>
      <c r="H16" s="38" t="n"/>
      <c r="I16" s="38" t="n"/>
      <c r="J16" s="38" t="n"/>
      <c r="K16" s="38" t="n"/>
      <c r="L16" s="38" t="n"/>
      <c r="M16" s="37" t="n"/>
      <c r="N16" s="37" t="n"/>
      <c r="O16" s="37" t="n"/>
      <c r="P16" s="6" t="n"/>
      <c r="Q16" s="6" t="n"/>
      <c r="R16" s="7" t="n"/>
    </row>
    <row r="17">
      <c r="A17" s="37" t="n"/>
      <c r="B17" s="37" t="n"/>
      <c r="C17" s="37" t="n"/>
      <c r="D17" s="38" t="n"/>
      <c r="E17" s="38" t="n"/>
      <c r="F17" s="38" t="n"/>
      <c r="G17" s="38" t="n"/>
      <c r="H17" s="38" t="n"/>
      <c r="I17" s="38" t="n"/>
      <c r="J17" s="38" t="n"/>
      <c r="K17" s="38" t="n"/>
      <c r="L17" s="38" t="n"/>
      <c r="M17" s="37" t="n"/>
      <c r="N17" s="37" t="n"/>
      <c r="O17" s="37" t="n"/>
      <c r="P17" s="6" t="n"/>
      <c r="Q17" s="6" t="n"/>
      <c r="R17" s="7" t="n"/>
    </row>
    <row r="18">
      <c r="A18" s="37" t="n"/>
      <c r="B18" s="37" t="n"/>
      <c r="C18" s="37" t="n"/>
      <c r="D18" s="38" t="n"/>
      <c r="E18" s="38" t="n"/>
      <c r="F18" s="38" t="n"/>
      <c r="G18" s="38" t="n"/>
      <c r="H18" s="38" t="n"/>
      <c r="I18" s="38" t="n"/>
      <c r="J18" s="38" t="n"/>
      <c r="K18" s="38" t="n"/>
      <c r="L18" s="38" t="n"/>
      <c r="M18" s="37" t="n"/>
      <c r="N18" s="37" t="n"/>
      <c r="O18" s="37" t="n"/>
      <c r="P18" s="6" t="n"/>
      <c r="Q18" s="6" t="n"/>
      <c r="R18" s="7" t="n"/>
    </row>
    <row r="19">
      <c r="A19" s="37" t="n"/>
      <c r="B19" s="37" t="n"/>
      <c r="C19" s="37" t="n"/>
      <c r="D19" s="38" t="n"/>
      <c r="E19" s="38" t="n"/>
      <c r="F19" s="38" t="n"/>
      <c r="G19" s="38" t="n"/>
      <c r="H19" s="38" t="n"/>
      <c r="I19" s="38" t="n"/>
      <c r="J19" s="38" t="n"/>
      <c r="K19" s="38" t="n"/>
      <c r="L19" s="38" t="n"/>
      <c r="M19" s="37" t="n"/>
      <c r="N19" s="37" t="n"/>
      <c r="O19" s="37" t="n"/>
      <c r="P19" s="6" t="n"/>
      <c r="Q19" s="6" t="n"/>
      <c r="R19" s="7" t="n"/>
    </row>
    <row r="20">
      <c r="A20" s="37" t="n"/>
      <c r="B20" s="37" t="n"/>
      <c r="C20" s="37" t="n"/>
      <c r="D20" s="38" t="n"/>
      <c r="E20" s="38" t="n"/>
      <c r="F20" s="38" t="n"/>
      <c r="G20" s="38" t="n"/>
      <c r="H20" s="38" t="n"/>
      <c r="I20" s="38" t="n"/>
      <c r="J20" s="38" t="n"/>
      <c r="K20" s="38" t="n"/>
      <c r="L20" s="38" t="n"/>
      <c r="M20" s="37" t="n"/>
      <c r="N20" s="37" t="n"/>
      <c r="O20" s="37" t="n"/>
      <c r="P20" s="6" t="n"/>
      <c r="Q20" s="6" t="n"/>
      <c r="R20" s="7" t="n"/>
    </row>
    <row r="21">
      <c r="A21" s="37" t="n"/>
      <c r="B21" s="37" t="n"/>
      <c r="C21" s="37" t="n"/>
      <c r="D21" s="38" t="n"/>
      <c r="E21" s="38" t="n"/>
      <c r="F21" s="38" t="n"/>
      <c r="G21" s="38" t="n"/>
      <c r="H21" s="38" t="n"/>
      <c r="I21" s="38" t="n"/>
      <c r="J21" s="38" t="n"/>
      <c r="K21" s="38" t="n"/>
      <c r="L21" s="38" t="n"/>
      <c r="M21" s="37" t="n"/>
      <c r="N21" s="37" t="n"/>
      <c r="O21" s="37" t="n"/>
      <c r="P21" s="6" t="n"/>
      <c r="Q21" s="6" t="n"/>
      <c r="R21" s="7" t="n"/>
    </row>
    <row r="22">
      <c r="A22" s="37" t="n"/>
      <c r="B22" s="37" t="n"/>
      <c r="C22" s="37" t="n"/>
      <c r="D22" s="38" t="n"/>
      <c r="E22" s="38" t="n"/>
      <c r="F22" s="38" t="n"/>
      <c r="G22" s="38" t="n"/>
      <c r="H22" s="38" t="n"/>
      <c r="I22" s="38" t="n"/>
      <c r="J22" s="38" t="n"/>
      <c r="K22" s="38" t="n"/>
      <c r="L22" s="38" t="n"/>
      <c r="M22" s="37" t="n"/>
      <c r="N22" s="37" t="n"/>
      <c r="O22" s="37" t="n"/>
      <c r="P22" s="6" t="n"/>
      <c r="Q22" s="6" t="n"/>
      <c r="R22" s="7" t="n"/>
    </row>
    <row r="23">
      <c r="A23" s="37" t="n"/>
      <c r="B23" s="37" t="n"/>
      <c r="C23" s="37" t="n"/>
      <c r="D23" s="38" t="n"/>
      <c r="E23" s="38" t="n"/>
      <c r="F23" s="38" t="n"/>
      <c r="G23" s="38" t="n"/>
      <c r="H23" s="38" t="n"/>
      <c r="I23" s="38" t="n"/>
      <c r="J23" s="38" t="n"/>
      <c r="K23" s="38" t="n"/>
      <c r="L23" s="38" t="n"/>
      <c r="M23" s="37" t="n"/>
      <c r="N23" s="37" t="n"/>
      <c r="O23" s="37" t="n"/>
      <c r="P23" s="6" t="n"/>
      <c r="Q23" s="6" t="n"/>
      <c r="R23" s="7" t="n"/>
    </row>
    <row r="24">
      <c r="A24" s="37" t="n"/>
      <c r="B24" s="37" t="n"/>
      <c r="C24" s="37" t="n"/>
      <c r="D24" s="38" t="n"/>
      <c r="E24" s="38" t="n"/>
      <c r="F24" s="38" t="n"/>
      <c r="G24" s="38" t="n"/>
      <c r="H24" s="38" t="n"/>
      <c r="I24" s="38" t="n"/>
      <c r="J24" s="38" t="n"/>
      <c r="K24" s="38" t="n"/>
      <c r="L24" s="38" t="n"/>
      <c r="M24" s="37" t="n"/>
      <c r="N24" s="37" t="n"/>
      <c r="O24" s="37" t="n"/>
      <c r="P24" s="6" t="n"/>
      <c r="Q24" s="6" t="n"/>
      <c r="R24" s="7" t="n"/>
    </row>
    <row r="25">
      <c r="A25" s="37" t="n"/>
      <c r="B25" s="37" t="n"/>
      <c r="C25" s="37" t="n"/>
      <c r="D25" s="38" t="n"/>
      <c r="E25" s="38" t="n"/>
      <c r="F25" s="38" t="n"/>
      <c r="G25" s="38" t="n"/>
      <c r="H25" s="38" t="n"/>
      <c r="I25" s="38" t="n"/>
      <c r="J25" s="38" t="n"/>
      <c r="K25" s="38" t="n"/>
      <c r="L25" s="38" t="n"/>
      <c r="M25" s="37" t="n"/>
      <c r="N25" s="37" t="n"/>
      <c r="O25" s="37" t="n"/>
      <c r="P25" s="6" t="n"/>
      <c r="Q25" s="6" t="n"/>
      <c r="R25" s="7" t="n"/>
    </row>
    <row r="26">
      <c r="A26" s="37" t="n"/>
      <c r="B26" s="37" t="n"/>
      <c r="C26" s="37" t="n"/>
      <c r="D26" s="38" t="n"/>
      <c r="E26" s="38" t="n"/>
      <c r="F26" s="38" t="n"/>
      <c r="G26" s="38" t="n"/>
      <c r="H26" s="38" t="n"/>
      <c r="I26" s="38" t="n"/>
      <c r="J26" s="38" t="n"/>
      <c r="K26" s="38" t="n"/>
      <c r="L26" s="38" t="n"/>
      <c r="M26" s="37" t="n"/>
      <c r="N26" s="37" t="n"/>
      <c r="O26" s="37" t="n"/>
      <c r="P26" s="6" t="n"/>
      <c r="Q26" s="6" t="n"/>
      <c r="R26" s="7" t="n"/>
    </row>
    <row r="27">
      <c r="A27" s="37" t="n"/>
      <c r="B27" s="37" t="n"/>
      <c r="C27" s="37" t="n"/>
      <c r="D27" s="38" t="n"/>
      <c r="E27" s="38" t="n"/>
      <c r="F27" s="38" t="n"/>
      <c r="G27" s="38" t="n"/>
      <c r="H27" s="38" t="n"/>
      <c r="I27" s="38" t="n"/>
      <c r="J27" s="38" t="n"/>
      <c r="K27" s="38" t="n"/>
      <c r="L27" s="38" t="n"/>
      <c r="M27" s="37" t="n"/>
      <c r="N27" s="37" t="n"/>
      <c r="O27" s="37" t="n"/>
      <c r="P27" s="6" t="n"/>
      <c r="Q27" s="6" t="n"/>
      <c r="R27" s="7" t="n"/>
    </row>
    <row r="28">
      <c r="A28" s="37" t="n"/>
      <c r="B28" s="37" t="n"/>
      <c r="C28" s="37" t="n"/>
      <c r="D28" s="38" t="n"/>
      <c r="E28" s="38" t="n"/>
      <c r="F28" s="38" t="n"/>
      <c r="G28" s="38" t="n"/>
      <c r="H28" s="38" t="n"/>
      <c r="I28" s="38" t="n"/>
      <c r="J28" s="38" t="n"/>
      <c r="K28" s="38" t="n"/>
      <c r="L28" s="38" t="n"/>
      <c r="M28" s="37" t="n"/>
      <c r="N28" s="37" t="n"/>
      <c r="O28" s="37" t="n"/>
      <c r="P28" s="6" t="n"/>
      <c r="Q28" s="6" t="n"/>
      <c r="R28" s="7" t="n"/>
    </row>
    <row r="29">
      <c r="A29" s="37" t="n"/>
      <c r="B29" s="37" t="n"/>
      <c r="C29" s="37" t="n"/>
      <c r="D29" s="38" t="n"/>
      <c r="E29" s="38" t="n"/>
      <c r="F29" s="38" t="n"/>
      <c r="G29" s="38" t="n"/>
      <c r="H29" s="38" t="n"/>
      <c r="I29" s="38" t="n"/>
      <c r="J29" s="38" t="n"/>
      <c r="K29" s="38" t="n"/>
      <c r="L29" s="38" t="n"/>
      <c r="M29" s="37" t="n"/>
      <c r="N29" s="37" t="n"/>
      <c r="O29" s="37" t="n"/>
      <c r="P29" s="6" t="n"/>
      <c r="Q29" s="6" t="n"/>
      <c r="R29" s="7" t="n"/>
    </row>
    <row r="30">
      <c r="A30" s="37" t="n"/>
      <c r="B30" s="37" t="n"/>
      <c r="C30" s="37" t="n"/>
      <c r="D30" s="38" t="n"/>
      <c r="E30" s="38" t="n"/>
      <c r="F30" s="38" t="n"/>
      <c r="G30" s="38" t="n"/>
      <c r="H30" s="38" t="n"/>
      <c r="I30" s="38" t="n"/>
      <c r="J30" s="38" t="n"/>
      <c r="K30" s="38" t="n"/>
      <c r="L30" s="38" t="n"/>
      <c r="M30" s="37" t="n"/>
      <c r="N30" s="37" t="n"/>
      <c r="O30" s="37" t="n"/>
      <c r="P30" s="6" t="n"/>
      <c r="Q30" s="6" t="n"/>
      <c r="R30" s="7" t="n"/>
    </row>
    <row r="31">
      <c r="A31" s="37" t="n"/>
      <c r="B31" s="37" t="n"/>
      <c r="C31" s="37" t="n"/>
      <c r="D31" s="38" t="n"/>
      <c r="E31" s="38" t="n"/>
      <c r="F31" s="38" t="n"/>
      <c r="G31" s="38" t="n"/>
      <c r="H31" s="38" t="n"/>
      <c r="I31" s="38" t="n"/>
      <c r="J31" s="38" t="n"/>
      <c r="K31" s="38" t="n"/>
      <c r="L31" s="38" t="n"/>
      <c r="M31" s="37" t="n"/>
      <c r="N31" s="37" t="n"/>
      <c r="O31" s="37" t="n"/>
      <c r="P31" s="6" t="n"/>
      <c r="Q31" s="6" t="n"/>
      <c r="R31" s="7" t="n"/>
    </row>
    <row r="32">
      <c r="A32" s="37" t="n"/>
      <c r="B32" s="37" t="n"/>
      <c r="C32" s="37" t="n"/>
      <c r="D32" s="38" t="n"/>
      <c r="E32" s="38" t="n"/>
      <c r="F32" s="38" t="n"/>
      <c r="G32" s="38" t="n"/>
      <c r="H32" s="38" t="n"/>
      <c r="I32" s="38" t="n"/>
      <c r="J32" s="38" t="n"/>
      <c r="K32" s="38" t="n"/>
      <c r="L32" s="38" t="n"/>
      <c r="M32" s="37" t="n"/>
      <c r="N32" s="37" t="n"/>
      <c r="O32" s="37" t="n"/>
      <c r="P32" s="6" t="n"/>
      <c r="Q32" s="6" t="n"/>
      <c r="R32" s="7" t="n"/>
    </row>
    <row r="33">
      <c r="A33" s="37" t="n"/>
      <c r="B33" s="37" t="n"/>
      <c r="C33" s="37" t="n"/>
      <c r="D33" s="38" t="n"/>
      <c r="E33" s="38" t="n"/>
      <c r="F33" s="38" t="n"/>
      <c r="G33" s="38" t="n"/>
      <c r="H33" s="38" t="n"/>
      <c r="I33" s="38" t="n"/>
      <c r="J33" s="38" t="n"/>
      <c r="K33" s="38" t="n"/>
      <c r="L33" s="38" t="n"/>
      <c r="M33" s="37" t="n"/>
      <c r="N33" s="37" t="n"/>
      <c r="O33" s="37" t="n"/>
      <c r="P33" s="6" t="n"/>
      <c r="Q33" s="6" t="n"/>
      <c r="R33" s="7" t="n"/>
    </row>
    <row r="34">
      <c r="A34" s="37" t="n"/>
      <c r="B34" s="37" t="n"/>
      <c r="C34" s="37" t="n"/>
      <c r="D34" s="38" t="n"/>
      <c r="E34" s="38" t="n"/>
      <c r="F34" s="38" t="n"/>
      <c r="G34" s="38" t="n"/>
      <c r="H34" s="38" t="n"/>
      <c r="I34" s="38" t="n"/>
      <c r="J34" s="38" t="n"/>
      <c r="K34" s="38" t="n"/>
      <c r="L34" s="38" t="n"/>
      <c r="M34" s="37" t="n"/>
      <c r="N34" s="37" t="n"/>
      <c r="O34" s="37" t="n"/>
      <c r="P34" s="6" t="n"/>
      <c r="Q34" s="6" t="n"/>
      <c r="R34" s="7" t="n"/>
    </row>
    <row r="35">
      <c r="A35" s="37" t="n"/>
      <c r="B35" s="37" t="n"/>
      <c r="C35" s="37" t="n"/>
      <c r="D35" s="38" t="n"/>
      <c r="E35" s="38" t="n"/>
      <c r="F35" s="38" t="n"/>
      <c r="G35" s="38" t="n"/>
      <c r="H35" s="38" t="n"/>
      <c r="I35" s="38" t="n"/>
      <c r="J35" s="38" t="n"/>
      <c r="K35" s="38" t="n"/>
      <c r="L35" s="38" t="n"/>
      <c r="M35" s="37" t="n"/>
      <c r="N35" s="37" t="n"/>
      <c r="O35" s="37" t="n"/>
      <c r="P35" s="6" t="n"/>
      <c r="Q35" s="6" t="n"/>
      <c r="R35" s="7" t="n"/>
    </row>
    <row r="36">
      <c r="A36" s="37" t="n"/>
      <c r="B36" s="37" t="n"/>
      <c r="C36" s="37" t="n"/>
      <c r="D36" s="38" t="n"/>
      <c r="E36" s="38" t="n"/>
      <c r="F36" s="38" t="n"/>
      <c r="G36" s="38" t="n"/>
      <c r="H36" s="38" t="n"/>
      <c r="I36" s="38" t="n"/>
      <c r="J36" s="38" t="n"/>
      <c r="K36" s="38" t="n"/>
      <c r="L36" s="38" t="n"/>
      <c r="M36" s="37" t="n"/>
      <c r="N36" s="37" t="n"/>
      <c r="O36" s="37" t="n"/>
      <c r="P36" s="6" t="n"/>
      <c r="Q36" s="6" t="n"/>
      <c r="R36" s="7" t="n"/>
    </row>
    <row r="37">
      <c r="A37" s="37" t="n"/>
      <c r="B37" s="37" t="n"/>
      <c r="C37" s="37" t="n"/>
      <c r="D37" s="38" t="n"/>
      <c r="E37" s="38" t="n"/>
      <c r="F37" s="38" t="n"/>
      <c r="G37" s="38" t="n"/>
      <c r="H37" s="38" t="n"/>
      <c r="I37" s="38" t="n"/>
      <c r="J37" s="38" t="n"/>
      <c r="K37" s="38" t="n"/>
      <c r="L37" s="38" t="n"/>
      <c r="M37" s="37" t="n"/>
      <c r="N37" s="37" t="n"/>
      <c r="O37" s="37" t="n"/>
      <c r="P37" s="6" t="n"/>
      <c r="Q37" s="6" t="n"/>
      <c r="R37" s="7" t="n"/>
    </row>
    <row r="38">
      <c r="A38" s="37" t="n"/>
      <c r="B38" s="37" t="n"/>
      <c r="C38" s="37" t="n"/>
      <c r="D38" s="38" t="n"/>
      <c r="E38" s="38" t="n"/>
      <c r="F38" s="38" t="n"/>
      <c r="G38" s="38" t="n"/>
      <c r="H38" s="38" t="n"/>
      <c r="I38" s="38" t="n"/>
      <c r="J38" s="38" t="n"/>
      <c r="K38" s="38" t="n"/>
      <c r="L38" s="38" t="n"/>
      <c r="M38" s="37" t="n"/>
      <c r="N38" s="37" t="n"/>
      <c r="O38" s="37" t="n"/>
      <c r="P38" s="6" t="n"/>
      <c r="Q38" s="6" t="n"/>
      <c r="R38" s="7" t="n"/>
    </row>
    <row r="39">
      <c r="A39" s="37" t="n"/>
      <c r="B39" s="37" t="n"/>
      <c r="C39" s="37" t="n"/>
      <c r="D39" s="38" t="n"/>
      <c r="E39" s="38" t="n"/>
      <c r="F39" s="38" t="n"/>
      <c r="G39" s="38" t="n"/>
      <c r="H39" s="38" t="n"/>
      <c r="I39" s="38" t="n"/>
      <c r="J39" s="38" t="n"/>
      <c r="K39" s="38" t="n"/>
      <c r="L39" s="38" t="n"/>
      <c r="M39" s="37" t="n"/>
      <c r="N39" s="37" t="n"/>
      <c r="O39" s="37" t="n"/>
      <c r="P39" s="6" t="n"/>
      <c r="Q39" s="6" t="n"/>
      <c r="R39" s="7" t="n"/>
    </row>
    <row r="40">
      <c r="A40" s="37" t="n"/>
      <c r="B40" s="37" t="n"/>
      <c r="C40" s="37" t="n"/>
      <c r="D40" s="38" t="n"/>
      <c r="E40" s="38" t="n"/>
      <c r="F40" s="38" t="n"/>
      <c r="G40" s="38" t="n"/>
      <c r="H40" s="38" t="n"/>
      <c r="I40" s="38" t="n"/>
      <c r="J40" s="38" t="n"/>
      <c r="K40" s="38" t="n"/>
      <c r="L40" s="38" t="n"/>
      <c r="M40" s="37" t="n"/>
      <c r="N40" s="37" t="n"/>
      <c r="O40" s="37" t="n"/>
      <c r="P40" s="6" t="n"/>
      <c r="Q40" s="6" t="n"/>
      <c r="R40" s="7" t="n"/>
    </row>
    <row r="41">
      <c r="A41" s="37" t="n"/>
      <c r="B41" s="37" t="n"/>
      <c r="C41" s="37" t="n"/>
      <c r="D41" s="38" t="n"/>
      <c r="E41" s="38" t="n"/>
      <c r="F41" s="38" t="n"/>
      <c r="G41" s="38" t="n"/>
      <c r="H41" s="38" t="n"/>
      <c r="I41" s="38" t="n"/>
      <c r="J41" s="38" t="n"/>
      <c r="K41" s="38" t="n"/>
      <c r="L41" s="38" t="n"/>
      <c r="M41" s="37" t="n"/>
      <c r="N41" s="37" t="n"/>
      <c r="O41" s="37" t="n"/>
      <c r="P41" s="6" t="n"/>
      <c r="Q41" s="6" t="n"/>
      <c r="R41" s="7" t="n"/>
    </row>
    <row r="42">
      <c r="A42" s="37" t="n"/>
      <c r="B42" s="37" t="n"/>
      <c r="C42" s="37" t="n"/>
      <c r="D42" s="38" t="n"/>
      <c r="E42" s="38" t="n"/>
      <c r="F42" s="38" t="n"/>
      <c r="G42" s="38" t="n"/>
      <c r="H42" s="38" t="n"/>
      <c r="I42" s="38" t="n"/>
      <c r="J42" s="38" t="n"/>
      <c r="K42" s="38" t="n"/>
      <c r="L42" s="38" t="n"/>
      <c r="M42" s="37" t="n"/>
      <c r="N42" s="37" t="n"/>
      <c r="O42" s="37" t="n"/>
      <c r="P42" s="6" t="n"/>
      <c r="Q42" s="6" t="n"/>
      <c r="R42" s="7" t="n"/>
    </row>
    <row r="43">
      <c r="A43" s="37" t="n"/>
      <c r="B43" s="37" t="n"/>
      <c r="C43" s="37" t="n"/>
      <c r="D43" s="38" t="n"/>
      <c r="E43" s="38" t="n"/>
      <c r="F43" s="38" t="n"/>
      <c r="G43" s="38" t="n"/>
      <c r="H43" s="38" t="n"/>
      <c r="I43" s="38" t="n"/>
      <c r="J43" s="38" t="n"/>
      <c r="K43" s="38" t="n"/>
      <c r="L43" s="38" t="n"/>
      <c r="M43" s="37" t="n"/>
      <c r="N43" s="37" t="n"/>
      <c r="O43" s="37" t="n"/>
      <c r="P43" s="6" t="n"/>
      <c r="Q43" s="6" t="n"/>
      <c r="R43" s="7" t="n"/>
    </row>
    <row r="44">
      <c r="A44" s="37" t="n"/>
      <c r="B44" s="37" t="n"/>
      <c r="C44" s="37" t="n"/>
      <c r="D44" s="38" t="n"/>
      <c r="E44" s="38" t="n"/>
      <c r="F44" s="38" t="n"/>
      <c r="G44" s="38" t="n"/>
      <c r="H44" s="38" t="n"/>
      <c r="I44" s="38" t="n"/>
      <c r="J44" s="38" t="n"/>
      <c r="K44" s="38" t="n"/>
      <c r="L44" s="38" t="n"/>
      <c r="M44" s="37" t="n"/>
      <c r="N44" s="37" t="n"/>
      <c r="O44" s="37" t="n"/>
      <c r="P44" s="6" t="n"/>
      <c r="Q44" s="6" t="n"/>
      <c r="R44" s="7" t="n"/>
    </row>
    <row r="45">
      <c r="A45" s="37" t="n"/>
      <c r="B45" s="37" t="n"/>
      <c r="C45" s="37" t="n"/>
      <c r="D45" s="38" t="n"/>
      <c r="E45" s="38" t="n"/>
      <c r="F45" s="38" t="n"/>
      <c r="G45" s="38" t="n"/>
      <c r="H45" s="38" t="n"/>
      <c r="I45" s="38" t="n"/>
      <c r="J45" s="38" t="n"/>
      <c r="K45" s="38" t="n"/>
      <c r="L45" s="38" t="n"/>
      <c r="M45" s="37" t="n"/>
      <c r="N45" s="37" t="n"/>
      <c r="O45" s="37" t="n"/>
      <c r="P45" s="6" t="n"/>
      <c r="Q45" s="6" t="n"/>
      <c r="R45" s="7" t="n"/>
    </row>
    <row r="46">
      <c r="A46" s="37" t="n"/>
      <c r="B46" s="37" t="n"/>
      <c r="C46" s="37" t="n"/>
      <c r="D46" s="38" t="n"/>
      <c r="E46" s="38" t="n"/>
      <c r="F46" s="38" t="n"/>
      <c r="G46" s="38" t="n"/>
      <c r="H46" s="38" t="n"/>
      <c r="I46" s="38" t="n"/>
      <c r="J46" s="38" t="n"/>
      <c r="K46" s="38" t="n"/>
      <c r="L46" s="38" t="n"/>
      <c r="M46" s="37" t="n"/>
      <c r="N46" s="37" t="n"/>
      <c r="O46" s="37" t="n"/>
      <c r="P46" s="6" t="n"/>
      <c r="Q46" s="6" t="n"/>
      <c r="R46" s="7" t="n"/>
    </row>
    <row r="47">
      <c r="A47" s="37" t="n"/>
      <c r="B47" s="37" t="n"/>
      <c r="C47" s="37" t="n"/>
      <c r="D47" s="38" t="n"/>
      <c r="E47" s="38" t="n"/>
      <c r="F47" s="38" t="n"/>
      <c r="G47" s="38" t="n"/>
      <c r="H47" s="38" t="n"/>
      <c r="I47" s="38" t="n"/>
      <c r="J47" s="38" t="n"/>
      <c r="K47" s="38" t="n"/>
      <c r="L47" s="38" t="n"/>
      <c r="M47" s="37" t="n"/>
      <c r="N47" s="37" t="n"/>
      <c r="O47" s="37" t="n"/>
      <c r="P47" s="6" t="n"/>
      <c r="Q47" s="6" t="n"/>
      <c r="R47" s="7" t="n"/>
    </row>
    <row r="48">
      <c r="A48" s="37" t="n"/>
      <c r="B48" s="37" t="n"/>
      <c r="C48" s="37" t="n"/>
      <c r="D48" s="38" t="n"/>
      <c r="E48" s="38" t="n"/>
      <c r="F48" s="38" t="n"/>
      <c r="G48" s="38" t="n"/>
      <c r="H48" s="38" t="n"/>
      <c r="I48" s="38" t="n"/>
      <c r="J48" s="38" t="n"/>
      <c r="K48" s="38" t="n"/>
      <c r="L48" s="38" t="n"/>
      <c r="M48" s="37" t="n"/>
      <c r="N48" s="37" t="n"/>
      <c r="O48" s="37" t="n"/>
      <c r="P48" s="6" t="n"/>
      <c r="Q48" s="6" t="n"/>
      <c r="R48" s="7" t="n"/>
    </row>
    <row r="49">
      <c r="A49" s="37" t="n"/>
      <c r="B49" s="37" t="n"/>
      <c r="C49" s="37" t="n"/>
      <c r="D49" s="38" t="n"/>
      <c r="E49" s="38" t="n"/>
      <c r="F49" s="38" t="n"/>
      <c r="G49" s="38" t="n"/>
      <c r="H49" s="38" t="n"/>
      <c r="I49" s="38" t="n"/>
      <c r="J49" s="38" t="n"/>
      <c r="K49" s="38" t="n"/>
      <c r="L49" s="38" t="n"/>
      <c r="M49" s="37" t="n"/>
      <c r="N49" s="37" t="n"/>
      <c r="O49" s="37" t="n"/>
      <c r="P49" s="6" t="n"/>
      <c r="Q49" s="6" t="n"/>
      <c r="R49" s="7" t="n"/>
    </row>
    <row r="50">
      <c r="A50" s="37" t="n"/>
      <c r="B50" s="37" t="n"/>
      <c r="C50" s="37" t="n"/>
      <c r="D50" s="38" t="n"/>
      <c r="E50" s="38" t="n"/>
      <c r="F50" s="38" t="n"/>
      <c r="G50" s="38" t="n"/>
      <c r="H50" s="38" t="n"/>
      <c r="I50" s="38" t="n"/>
      <c r="J50" s="38" t="n"/>
      <c r="K50" s="38" t="n"/>
      <c r="L50" s="38" t="n"/>
      <c r="M50" s="37" t="n"/>
      <c r="N50" s="37" t="n"/>
      <c r="O50" s="37" t="n"/>
      <c r="P50" s="6" t="n"/>
      <c r="Q50" s="6" t="n"/>
      <c r="R50" s="7" t="n"/>
    </row>
    <row r="51">
      <c r="A51" s="37" t="n"/>
      <c r="B51" s="37" t="n"/>
      <c r="C51" s="37" t="n"/>
      <c r="D51" s="38" t="n"/>
      <c r="E51" s="38" t="n"/>
      <c r="F51" s="38" t="n"/>
      <c r="G51" s="38" t="n"/>
      <c r="H51" s="38" t="n"/>
      <c r="I51" s="38" t="n"/>
      <c r="J51" s="38" t="n"/>
      <c r="K51" s="38" t="n"/>
      <c r="L51" s="38" t="n"/>
      <c r="M51" s="37" t="n"/>
      <c r="N51" s="37" t="n"/>
      <c r="O51" s="37" t="n"/>
      <c r="P51" s="6" t="n"/>
      <c r="Q51" s="6" t="n"/>
      <c r="R51" s="7" t="n"/>
    </row>
    <row r="52">
      <c r="A52" s="37" t="n"/>
      <c r="B52" s="37" t="n"/>
      <c r="C52" s="37" t="n"/>
      <c r="D52" s="38" t="n"/>
      <c r="E52" s="38" t="n"/>
      <c r="F52" s="38" t="n"/>
      <c r="G52" s="38" t="n"/>
      <c r="H52" s="38" t="n"/>
      <c r="I52" s="38" t="n"/>
      <c r="J52" s="38" t="n"/>
      <c r="K52" s="38" t="n"/>
      <c r="L52" s="38" t="n"/>
      <c r="M52" s="37" t="n"/>
      <c r="N52" s="37" t="n"/>
      <c r="O52" s="37" t="n"/>
      <c r="P52" s="6" t="n"/>
      <c r="Q52" s="6" t="n"/>
      <c r="R52" s="7" t="n"/>
    </row>
    <row r="53">
      <c r="A53" s="37" t="n"/>
      <c r="B53" s="37" t="n"/>
      <c r="C53" s="37" t="n"/>
      <c r="D53" s="38" t="n"/>
      <c r="E53" s="38" t="n"/>
      <c r="F53" s="38" t="n"/>
      <c r="G53" s="38" t="n"/>
      <c r="H53" s="38" t="n"/>
      <c r="I53" s="38" t="n"/>
      <c r="J53" s="38" t="n"/>
      <c r="K53" s="38" t="n"/>
      <c r="L53" s="38" t="n"/>
      <c r="M53" s="37" t="n"/>
      <c r="N53" s="37" t="n"/>
      <c r="O53" s="37" t="n"/>
      <c r="P53" s="6" t="n"/>
      <c r="Q53" s="6" t="n"/>
      <c r="R53" s="7" t="n"/>
    </row>
    <row r="54">
      <c r="A54" s="37" t="n"/>
      <c r="B54" s="37" t="n"/>
      <c r="C54" s="37" t="n"/>
      <c r="D54" s="38" t="n"/>
      <c r="E54" s="38" t="n"/>
      <c r="F54" s="38" t="n"/>
      <c r="G54" s="38" t="n"/>
      <c r="H54" s="38" t="n"/>
      <c r="I54" s="38" t="n"/>
      <c r="J54" s="38" t="n"/>
      <c r="K54" s="38" t="n"/>
      <c r="L54" s="38" t="n"/>
      <c r="M54" s="37" t="n"/>
      <c r="N54" s="37" t="n"/>
      <c r="O54" s="37" t="n"/>
      <c r="P54" s="6" t="n"/>
      <c r="Q54" s="6" t="n"/>
      <c r="R54" s="7" t="n"/>
    </row>
    <row r="55">
      <c r="A55" s="37" t="n"/>
      <c r="B55" s="37" t="n"/>
      <c r="C55" s="37" t="n"/>
      <c r="D55" s="38" t="n"/>
      <c r="E55" s="38" t="n"/>
      <c r="F55" s="38" t="n"/>
      <c r="G55" s="38" t="n"/>
      <c r="H55" s="38" t="n"/>
      <c r="I55" s="38" t="n"/>
      <c r="J55" s="38" t="n"/>
      <c r="K55" s="38" t="n"/>
      <c r="L55" s="38" t="n"/>
      <c r="M55" s="37" t="n"/>
      <c r="N55" s="37" t="n"/>
      <c r="O55" s="37" t="n"/>
      <c r="P55" s="6" t="n"/>
      <c r="Q55" s="6" t="n"/>
      <c r="R55" s="7" t="n"/>
    </row>
    <row r="56">
      <c r="A56" s="37" t="n"/>
      <c r="B56" s="37" t="n"/>
      <c r="C56" s="37" t="n"/>
      <c r="D56" s="38" t="n"/>
      <c r="E56" s="38" t="n"/>
      <c r="F56" s="38" t="n"/>
      <c r="G56" s="38" t="n"/>
      <c r="H56" s="38" t="n"/>
      <c r="I56" s="38" t="n"/>
      <c r="J56" s="38" t="n"/>
      <c r="K56" s="38" t="n"/>
      <c r="L56" s="38" t="n"/>
      <c r="M56" s="37" t="n"/>
      <c r="N56" s="37" t="n"/>
      <c r="O56" s="37" t="n"/>
      <c r="P56" s="6" t="n"/>
      <c r="Q56" s="6" t="n"/>
      <c r="R56" s="7" t="n"/>
    </row>
    <row r="57">
      <c r="A57" s="37" t="n"/>
      <c r="B57" s="37" t="n"/>
      <c r="C57" s="37" t="n"/>
      <c r="D57" s="38" t="n"/>
      <c r="E57" s="38" t="n"/>
      <c r="F57" s="38" t="n"/>
      <c r="G57" s="38" t="n"/>
      <c r="H57" s="38" t="n"/>
      <c r="I57" s="38" t="n"/>
      <c r="J57" s="38" t="n"/>
      <c r="K57" s="38" t="n"/>
      <c r="L57" s="38" t="n"/>
      <c r="M57" s="37" t="n"/>
      <c r="N57" s="37" t="n"/>
      <c r="O57" s="37" t="n"/>
      <c r="P57" s="6" t="n"/>
      <c r="Q57" s="6" t="n"/>
      <c r="R57" s="7" t="n"/>
    </row>
    <row r="58">
      <c r="A58" s="37" t="n"/>
      <c r="B58" s="37" t="n"/>
      <c r="C58" s="37" t="n"/>
      <c r="D58" s="38" t="n"/>
      <c r="E58" s="38" t="n"/>
      <c r="F58" s="38" t="n"/>
      <c r="G58" s="38" t="n"/>
      <c r="H58" s="38" t="n"/>
      <c r="I58" s="38" t="n"/>
      <c r="J58" s="38" t="n"/>
      <c r="K58" s="38" t="n"/>
      <c r="L58" s="38" t="n"/>
      <c r="M58" s="37" t="n"/>
      <c r="N58" s="37" t="n"/>
      <c r="O58" s="37" t="n"/>
      <c r="P58" s="6" t="n"/>
      <c r="Q58" s="6" t="n"/>
      <c r="R58" s="7" t="n"/>
    </row>
    <row r="59">
      <c r="A59" s="37" t="n"/>
      <c r="B59" s="37" t="n"/>
      <c r="C59" s="37" t="n"/>
      <c r="D59" s="38" t="n"/>
      <c r="E59" s="38" t="n"/>
      <c r="F59" s="38" t="n"/>
      <c r="G59" s="38" t="n"/>
      <c r="H59" s="38" t="n"/>
      <c r="I59" s="38" t="n"/>
      <c r="J59" s="38" t="n"/>
      <c r="K59" s="38" t="n"/>
      <c r="L59" s="38" t="n"/>
      <c r="M59" s="37" t="n"/>
      <c r="N59" s="37" t="n"/>
      <c r="O59" s="37" t="n"/>
      <c r="P59" s="6" t="n"/>
      <c r="Q59" s="6" t="n"/>
      <c r="R59" s="7" t="n"/>
    </row>
    <row r="60">
      <c r="A60" s="37" t="n"/>
      <c r="B60" s="37" t="n"/>
      <c r="C60" s="37" t="n"/>
      <c r="D60" s="38" t="n"/>
      <c r="E60" s="38" t="n"/>
      <c r="F60" s="38" t="n"/>
      <c r="G60" s="38" t="n"/>
      <c r="H60" s="38" t="n"/>
      <c r="I60" s="38" t="n"/>
      <c r="J60" s="38" t="n"/>
      <c r="K60" s="38" t="n"/>
      <c r="L60" s="38" t="n"/>
      <c r="M60" s="37" t="n"/>
      <c r="N60" s="37" t="n"/>
      <c r="O60" s="37" t="n"/>
      <c r="P60" s="6" t="n"/>
      <c r="Q60" s="6" t="n"/>
      <c r="R60" s="7" t="n"/>
    </row>
    <row r="61">
      <c r="A61" s="37" t="n"/>
      <c r="B61" s="37" t="n"/>
      <c r="C61" s="37" t="n"/>
      <c r="D61" s="38" t="n"/>
      <c r="E61" s="38" t="n"/>
      <c r="F61" s="38" t="n"/>
      <c r="G61" s="38" t="n"/>
      <c r="H61" s="38" t="n"/>
      <c r="I61" s="38" t="n"/>
      <c r="J61" s="38" t="n"/>
      <c r="K61" s="38" t="n"/>
      <c r="L61" s="38" t="n"/>
      <c r="M61" s="37" t="n"/>
      <c r="N61" s="37" t="n"/>
      <c r="O61" s="37" t="n"/>
      <c r="P61" s="6" t="n"/>
      <c r="Q61" s="6" t="n"/>
      <c r="R61" s="7" t="n"/>
    </row>
    <row r="62">
      <c r="A62" s="37" t="n"/>
      <c r="B62" s="37" t="n"/>
      <c r="C62" s="37" t="n"/>
      <c r="D62" s="38" t="n"/>
      <c r="E62" s="38" t="n"/>
      <c r="F62" s="38" t="n"/>
      <c r="G62" s="38" t="n"/>
      <c r="H62" s="38" t="n"/>
      <c r="I62" s="38" t="n"/>
      <c r="J62" s="38" t="n"/>
      <c r="K62" s="38" t="n"/>
      <c r="L62" s="38" t="n"/>
      <c r="M62" s="37" t="n"/>
      <c r="N62" s="37" t="n"/>
      <c r="O62" s="37" t="n"/>
      <c r="P62" s="6" t="n"/>
      <c r="Q62" s="6" t="n"/>
      <c r="R62" s="7" t="n"/>
    </row>
    <row r="63">
      <c r="A63" s="37" t="n"/>
      <c r="B63" s="37" t="n"/>
      <c r="C63" s="37" t="n"/>
      <c r="D63" s="38" t="n"/>
      <c r="E63" s="38" t="n"/>
      <c r="F63" s="38" t="n"/>
      <c r="G63" s="38" t="n"/>
      <c r="H63" s="38" t="n"/>
      <c r="I63" s="38" t="n"/>
      <c r="J63" s="38" t="n"/>
      <c r="K63" s="38" t="n"/>
      <c r="L63" s="38" t="n"/>
      <c r="M63" s="37" t="n"/>
      <c r="N63" s="37" t="n"/>
      <c r="O63" s="37" t="n"/>
      <c r="P63" s="6" t="n"/>
      <c r="Q63" s="6" t="n"/>
      <c r="R63" s="7" t="n"/>
    </row>
    <row r="64">
      <c r="A64" s="37" t="n"/>
      <c r="B64" s="37" t="n"/>
      <c r="C64" s="37" t="n"/>
      <c r="D64" s="38" t="n"/>
      <c r="E64" s="38" t="n"/>
      <c r="F64" s="38" t="n"/>
      <c r="G64" s="38" t="n"/>
      <c r="H64" s="38" t="n"/>
      <c r="I64" s="38" t="n"/>
      <c r="J64" s="38" t="n"/>
      <c r="K64" s="38" t="n"/>
      <c r="L64" s="38" t="n"/>
      <c r="M64" s="37" t="n"/>
      <c r="N64" s="37" t="n"/>
      <c r="O64" s="37" t="n"/>
      <c r="P64" s="6" t="n"/>
      <c r="Q64" s="6" t="n"/>
      <c r="R64" s="7" t="n"/>
    </row>
    <row r="65">
      <c r="A65" s="37" t="n"/>
      <c r="B65" s="37" t="n"/>
      <c r="C65" s="37" t="n"/>
      <c r="D65" s="38" t="n"/>
      <c r="E65" s="38" t="n"/>
      <c r="F65" s="38" t="n"/>
      <c r="G65" s="38" t="n"/>
      <c r="H65" s="38" t="n"/>
      <c r="I65" s="38" t="n"/>
      <c r="J65" s="38" t="n"/>
      <c r="K65" s="38" t="n"/>
      <c r="L65" s="38" t="n"/>
      <c r="M65" s="37" t="n"/>
      <c r="N65" s="37" t="n"/>
      <c r="O65" s="37" t="n"/>
      <c r="P65" s="6" t="n"/>
      <c r="Q65" s="6" t="n"/>
      <c r="R65" s="7" t="n"/>
    </row>
    <row r="66">
      <c r="A66" s="37" t="n"/>
      <c r="B66" s="37" t="n"/>
      <c r="C66" s="37" t="n"/>
      <c r="D66" s="38" t="n"/>
      <c r="E66" s="38" t="n"/>
      <c r="F66" s="38" t="n"/>
      <c r="G66" s="38" t="n"/>
      <c r="H66" s="38" t="n"/>
      <c r="I66" s="38" t="n"/>
      <c r="J66" s="38" t="n"/>
      <c r="K66" s="38" t="n"/>
      <c r="L66" s="38" t="n"/>
      <c r="M66" s="37" t="n"/>
      <c r="N66" s="37" t="n"/>
      <c r="O66" s="37" t="n"/>
      <c r="P66" s="6" t="n"/>
      <c r="Q66" s="6" t="n"/>
      <c r="R66" s="7" t="n"/>
    </row>
    <row r="67">
      <c r="A67" s="37" t="n"/>
      <c r="B67" s="37" t="n"/>
      <c r="C67" s="37" t="n"/>
      <c r="D67" s="38" t="n"/>
      <c r="E67" s="38" t="n"/>
      <c r="F67" s="38" t="n"/>
      <c r="G67" s="38" t="n"/>
      <c r="H67" s="38" t="n"/>
      <c r="I67" s="38" t="n"/>
      <c r="J67" s="38" t="n"/>
      <c r="K67" s="38" t="n"/>
      <c r="L67" s="38" t="n"/>
      <c r="M67" s="37" t="n"/>
      <c r="N67" s="37" t="n"/>
      <c r="O67" s="37" t="n"/>
      <c r="P67" s="6" t="n"/>
      <c r="Q67" s="6" t="n"/>
      <c r="R67" s="7" t="n"/>
    </row>
    <row r="68">
      <c r="A68" s="37" t="n"/>
      <c r="B68" s="37" t="n"/>
      <c r="C68" s="37" t="n"/>
      <c r="D68" s="38" t="n"/>
      <c r="E68" s="38" t="n"/>
      <c r="F68" s="38" t="n"/>
      <c r="G68" s="38" t="n"/>
      <c r="H68" s="38" t="n"/>
      <c r="I68" s="38" t="n"/>
      <c r="J68" s="38" t="n"/>
      <c r="K68" s="38" t="n"/>
      <c r="L68" s="38" t="n"/>
      <c r="M68" s="37" t="n"/>
      <c r="N68" s="37" t="n"/>
      <c r="O68" s="37" t="n"/>
      <c r="P68" s="6" t="n"/>
      <c r="Q68" s="6" t="n"/>
      <c r="R68" s="7" t="n"/>
    </row>
    <row r="69">
      <c r="A69" s="37" t="n"/>
      <c r="B69" s="37" t="n"/>
      <c r="C69" s="37" t="n"/>
      <c r="D69" s="38" t="n"/>
      <c r="E69" s="38" t="n"/>
      <c r="F69" s="38" t="n"/>
      <c r="G69" s="38" t="n"/>
      <c r="H69" s="38" t="n"/>
      <c r="I69" s="38" t="n"/>
      <c r="J69" s="38" t="n"/>
      <c r="K69" s="38" t="n"/>
      <c r="L69" s="38" t="n"/>
      <c r="M69" s="37" t="n"/>
      <c r="N69" s="37" t="n"/>
      <c r="O69" s="37" t="n"/>
      <c r="P69" s="6" t="n"/>
      <c r="Q69" s="6" t="n"/>
      <c r="R69" s="7" t="n"/>
    </row>
    <row r="70">
      <c r="A70" s="37" t="n"/>
      <c r="B70" s="37" t="n"/>
      <c r="C70" s="37" t="n"/>
      <c r="D70" s="38" t="n"/>
      <c r="E70" s="38" t="n"/>
      <c r="F70" s="38" t="n"/>
      <c r="G70" s="38" t="n"/>
      <c r="H70" s="38" t="n"/>
      <c r="I70" s="38" t="n"/>
      <c r="J70" s="38" t="n"/>
      <c r="K70" s="38" t="n"/>
      <c r="L70" s="38" t="n"/>
      <c r="M70" s="37" t="n"/>
      <c r="N70" s="37" t="n"/>
      <c r="O70" s="37" t="n"/>
      <c r="P70" s="6" t="n"/>
      <c r="Q70" s="6" t="n"/>
      <c r="R70" s="7" t="n"/>
    </row>
    <row r="71">
      <c r="A71" s="37" t="n"/>
      <c r="B71" s="37" t="n"/>
      <c r="C71" s="37" t="n"/>
      <c r="D71" s="38" t="n"/>
      <c r="E71" s="38" t="n"/>
      <c r="F71" s="38" t="n"/>
      <c r="G71" s="38" t="n"/>
      <c r="H71" s="38" t="n"/>
      <c r="I71" s="38" t="n"/>
      <c r="J71" s="38" t="n"/>
      <c r="K71" s="38" t="n"/>
      <c r="L71" s="38" t="n"/>
      <c r="M71" s="37" t="n"/>
      <c r="N71" s="37" t="n"/>
      <c r="O71" s="37" t="n"/>
      <c r="P71" s="6" t="n"/>
      <c r="Q71" s="6" t="n"/>
      <c r="R71" s="7" t="n"/>
    </row>
    <row r="72">
      <c r="A72" s="37" t="n"/>
      <c r="B72" s="37" t="n"/>
      <c r="C72" s="37" t="n"/>
      <c r="D72" s="38" t="n"/>
      <c r="E72" s="38" t="n"/>
      <c r="F72" s="38" t="n"/>
      <c r="G72" s="38" t="n"/>
      <c r="H72" s="38" t="n"/>
      <c r="I72" s="38" t="n"/>
      <c r="J72" s="38" t="n"/>
      <c r="K72" s="38" t="n"/>
      <c r="L72" s="38" t="n"/>
      <c r="M72" s="37" t="n"/>
      <c r="N72" s="37" t="n"/>
      <c r="O72" s="37" t="n"/>
      <c r="P72" s="6" t="n"/>
      <c r="Q72" s="6" t="n"/>
      <c r="R72" s="7" t="n"/>
    </row>
    <row r="73">
      <c r="A73" s="37" t="n"/>
      <c r="B73" s="37" t="n"/>
      <c r="C73" s="37" t="n"/>
      <c r="D73" s="38" t="n"/>
      <c r="E73" s="38" t="n"/>
      <c r="F73" s="38" t="n"/>
      <c r="G73" s="38" t="n"/>
      <c r="H73" s="38" t="n"/>
      <c r="I73" s="38" t="n"/>
      <c r="J73" s="38" t="n"/>
      <c r="K73" s="38" t="n"/>
      <c r="L73" s="38" t="n"/>
      <c r="M73" s="37" t="n"/>
      <c r="N73" s="37" t="n"/>
      <c r="O73" s="37" t="n"/>
      <c r="P73" s="6" t="n"/>
      <c r="Q73" s="6" t="n"/>
      <c r="R73" s="7" t="n"/>
    </row>
    <row r="74">
      <c r="A74" s="37" t="n"/>
      <c r="B74" s="37" t="n"/>
      <c r="C74" s="37" t="n"/>
      <c r="D74" s="38" t="n"/>
      <c r="E74" s="38" t="n"/>
      <c r="F74" s="38" t="n"/>
      <c r="G74" s="38" t="n"/>
      <c r="H74" s="38" t="n"/>
      <c r="I74" s="38" t="n"/>
      <c r="J74" s="38" t="n"/>
      <c r="K74" s="38" t="n"/>
      <c r="L74" s="38" t="n"/>
      <c r="M74" s="37" t="n"/>
      <c r="N74" s="37" t="n"/>
      <c r="O74" s="37" t="n"/>
      <c r="P74" s="6" t="n"/>
      <c r="Q74" s="6" t="n"/>
      <c r="R74" s="7" t="n"/>
    </row>
    <row r="75">
      <c r="A75" s="37" t="n"/>
      <c r="B75" s="37" t="n"/>
      <c r="C75" s="37" t="n"/>
      <c r="D75" s="38" t="n"/>
      <c r="E75" s="38" t="n"/>
      <c r="F75" s="38" t="n"/>
      <c r="G75" s="38" t="n"/>
      <c r="H75" s="38" t="n"/>
      <c r="I75" s="38" t="n"/>
      <c r="J75" s="38" t="n"/>
      <c r="K75" s="38" t="n"/>
      <c r="L75" s="38" t="n"/>
      <c r="M75" s="37" t="n"/>
      <c r="N75" s="37" t="n"/>
      <c r="O75" s="37" t="n"/>
      <c r="P75" s="6" t="n"/>
      <c r="Q75" s="6" t="n"/>
      <c r="R75" s="7" t="n"/>
    </row>
    <row r="76">
      <c r="A76" s="37" t="n"/>
      <c r="B76" s="37" t="n"/>
      <c r="C76" s="37" t="n"/>
      <c r="D76" s="38" t="n"/>
      <c r="E76" s="38" t="n"/>
      <c r="F76" s="38" t="n"/>
      <c r="G76" s="38" t="n"/>
      <c r="H76" s="38" t="n"/>
      <c r="I76" s="38" t="n"/>
      <c r="J76" s="38" t="n"/>
      <c r="K76" s="38" t="n"/>
      <c r="L76" s="38" t="n"/>
      <c r="M76" s="37" t="n"/>
      <c r="N76" s="37" t="n"/>
      <c r="O76" s="37" t="n"/>
      <c r="P76" s="6" t="n"/>
      <c r="Q76" s="6" t="n"/>
      <c r="R76" s="7" t="n"/>
    </row>
    <row r="77">
      <c r="A77" s="37" t="n"/>
      <c r="B77" s="37" t="n"/>
      <c r="C77" s="37" t="n"/>
      <c r="D77" s="38" t="n"/>
      <c r="E77" s="38" t="n"/>
      <c r="F77" s="38" t="n"/>
      <c r="G77" s="38" t="n"/>
      <c r="H77" s="38" t="n"/>
      <c r="I77" s="38" t="n"/>
      <c r="J77" s="38" t="n"/>
      <c r="K77" s="38" t="n"/>
      <c r="L77" s="38" t="n"/>
      <c r="M77" s="37" t="n"/>
      <c r="N77" s="37" t="n"/>
      <c r="O77" s="37" t="n"/>
      <c r="P77" s="6" t="n"/>
      <c r="Q77" s="6" t="n"/>
      <c r="R77" s="7" t="n"/>
    </row>
    <row r="78">
      <c r="A78" s="37" t="n"/>
      <c r="B78" s="37" t="n"/>
      <c r="C78" s="37" t="n"/>
      <c r="D78" s="38" t="n"/>
      <c r="E78" s="38" t="n"/>
      <c r="F78" s="38" t="n"/>
      <c r="G78" s="38" t="n"/>
      <c r="H78" s="38" t="n"/>
      <c r="I78" s="38" t="n"/>
      <c r="J78" s="38" t="n"/>
      <c r="K78" s="38" t="n"/>
      <c r="L78" s="38" t="n"/>
      <c r="M78" s="37" t="n"/>
      <c r="N78" s="37" t="n"/>
      <c r="O78" s="37" t="n"/>
      <c r="P78" s="6" t="n"/>
      <c r="Q78" s="6" t="n"/>
      <c r="R78" s="7" t="n"/>
    </row>
    <row r="79">
      <c r="A79" s="37" t="n"/>
      <c r="B79" s="37" t="n"/>
      <c r="C79" s="37" t="n"/>
      <c r="D79" s="38" t="n"/>
      <c r="E79" s="38" t="n"/>
      <c r="F79" s="38" t="n"/>
      <c r="G79" s="38" t="n"/>
      <c r="H79" s="38" t="n"/>
      <c r="I79" s="38" t="n"/>
      <c r="J79" s="38" t="n"/>
      <c r="K79" s="38" t="n"/>
      <c r="L79" s="38" t="n"/>
      <c r="M79" s="37" t="n"/>
      <c r="N79" s="37" t="n"/>
      <c r="O79" s="37" t="n"/>
      <c r="P79" s="6" t="n"/>
      <c r="Q79" s="6" t="n"/>
      <c r="R79" s="7" t="n"/>
    </row>
    <row r="80">
      <c r="A80" s="37" t="n"/>
      <c r="B80" s="37" t="n"/>
      <c r="C80" s="37" t="n"/>
      <c r="D80" s="38" t="n"/>
      <c r="E80" s="38" t="n"/>
      <c r="F80" s="38" t="n"/>
      <c r="G80" s="38" t="n"/>
      <c r="H80" s="38" t="n"/>
      <c r="I80" s="38" t="n"/>
      <c r="J80" s="38" t="n"/>
      <c r="K80" s="38" t="n"/>
      <c r="L80" s="38" t="n"/>
      <c r="M80" s="37" t="n"/>
      <c r="N80" s="37" t="n"/>
      <c r="O80" s="37" t="n"/>
      <c r="P80" s="6" t="n"/>
      <c r="Q80" s="6" t="n"/>
      <c r="R80" s="7" t="n"/>
    </row>
    <row r="81">
      <c r="A81" s="37" t="n"/>
      <c r="B81" s="37" t="n"/>
      <c r="C81" s="37" t="n"/>
      <c r="D81" s="38" t="n"/>
      <c r="E81" s="38" t="n"/>
      <c r="F81" s="38" t="n"/>
      <c r="G81" s="38" t="n"/>
      <c r="H81" s="38" t="n"/>
      <c r="I81" s="38" t="n"/>
      <c r="J81" s="38" t="n"/>
      <c r="K81" s="38" t="n"/>
      <c r="L81" s="38" t="n"/>
      <c r="M81" s="37" t="n"/>
      <c r="N81" s="37" t="n"/>
      <c r="O81" s="37" t="n"/>
      <c r="P81" s="6" t="n"/>
      <c r="Q81" s="6" t="n"/>
      <c r="R81" s="7" t="n"/>
    </row>
    <row r="82">
      <c r="A82" s="37" t="n"/>
      <c r="B82" s="37" t="n"/>
      <c r="C82" s="37" t="n"/>
      <c r="D82" s="38" t="n"/>
      <c r="E82" s="38" t="n"/>
      <c r="F82" s="38" t="n"/>
      <c r="G82" s="38" t="n"/>
      <c r="H82" s="38" t="n"/>
      <c r="I82" s="38" t="n"/>
      <c r="J82" s="38" t="n"/>
      <c r="K82" s="38" t="n"/>
      <c r="L82" s="38" t="n"/>
      <c r="M82" s="37" t="n"/>
      <c r="N82" s="37" t="n"/>
      <c r="O82" s="37" t="n"/>
      <c r="P82" s="6" t="n"/>
      <c r="Q82" s="6" t="n"/>
      <c r="R82" s="7" t="n"/>
    </row>
    <row r="83">
      <c r="A83" s="37" t="n"/>
      <c r="B83" s="37" t="n"/>
      <c r="C83" s="37" t="n"/>
      <c r="D83" s="38" t="n"/>
      <c r="E83" s="38" t="n"/>
      <c r="F83" s="38" t="n"/>
      <c r="G83" s="38" t="n"/>
      <c r="H83" s="38" t="n"/>
      <c r="I83" s="38" t="n"/>
      <c r="J83" s="38" t="n"/>
      <c r="K83" s="38" t="n"/>
      <c r="L83" s="38" t="n"/>
      <c r="M83" s="37" t="n"/>
      <c r="N83" s="37" t="n"/>
      <c r="O83" s="37" t="n"/>
      <c r="P83" s="6" t="n"/>
      <c r="Q83" s="6" t="n"/>
      <c r="R83" s="7" t="n"/>
    </row>
    <row r="84">
      <c r="A84" s="37" t="n"/>
      <c r="B84" s="37" t="n"/>
      <c r="C84" s="37" t="n"/>
      <c r="D84" s="38" t="n"/>
      <c r="E84" s="38" t="n"/>
      <c r="F84" s="38" t="n"/>
      <c r="G84" s="38" t="n"/>
      <c r="H84" s="38" t="n"/>
      <c r="I84" s="38" t="n"/>
      <c r="J84" s="38" t="n"/>
      <c r="K84" s="38" t="n"/>
      <c r="L84" s="38" t="n"/>
      <c r="M84" s="37" t="n"/>
      <c r="N84" s="37" t="n"/>
      <c r="O84" s="37" t="n"/>
      <c r="P84" s="6" t="n"/>
      <c r="Q84" s="6" t="n"/>
      <c r="R84" s="7" t="n"/>
    </row>
    <row r="85">
      <c r="A85" s="37" t="n"/>
      <c r="B85" s="37" t="n"/>
      <c r="C85" s="37" t="n"/>
      <c r="D85" s="38" t="n"/>
      <c r="E85" s="38" t="n"/>
      <c r="F85" s="38" t="n"/>
      <c r="G85" s="38" t="n"/>
      <c r="H85" s="38" t="n"/>
      <c r="I85" s="38" t="n"/>
      <c r="J85" s="38" t="n"/>
      <c r="K85" s="38" t="n"/>
      <c r="L85" s="38" t="n"/>
      <c r="M85" s="37" t="n"/>
      <c r="N85" s="37" t="n"/>
      <c r="O85" s="37" t="n"/>
      <c r="P85" s="6" t="n"/>
      <c r="Q85" s="6" t="n"/>
      <c r="R85" s="7" t="n"/>
    </row>
    <row r="86">
      <c r="A86" s="37" t="n"/>
      <c r="B86" s="37" t="n"/>
      <c r="C86" s="37" t="n"/>
      <c r="D86" s="38" t="n"/>
      <c r="E86" s="38" t="n"/>
      <c r="F86" s="38" t="n"/>
      <c r="G86" s="38" t="n"/>
      <c r="H86" s="38" t="n"/>
      <c r="I86" s="38" t="n"/>
      <c r="J86" s="38" t="n"/>
      <c r="K86" s="38" t="n"/>
      <c r="L86" s="38" t="n"/>
      <c r="M86" s="37" t="n"/>
      <c r="N86" s="37" t="n"/>
      <c r="O86" s="37" t="n"/>
      <c r="P86" s="6" t="n"/>
      <c r="Q86" s="6" t="n"/>
      <c r="R86" s="7" t="n"/>
    </row>
    <row r="87">
      <c r="A87" s="37" t="n"/>
      <c r="B87" s="37" t="n"/>
      <c r="C87" s="37" t="n"/>
      <c r="D87" s="38" t="n"/>
      <c r="E87" s="38" t="n"/>
      <c r="F87" s="38" t="n"/>
      <c r="G87" s="38" t="n"/>
      <c r="H87" s="38" t="n"/>
      <c r="I87" s="38" t="n"/>
      <c r="J87" s="38" t="n"/>
      <c r="K87" s="38" t="n"/>
      <c r="L87" s="38" t="n"/>
      <c r="M87" s="37" t="n"/>
      <c r="N87" s="37" t="n"/>
      <c r="O87" s="37" t="n"/>
      <c r="P87" s="6" t="n"/>
      <c r="Q87" s="6" t="n"/>
      <c r="R87" s="7" t="n"/>
    </row>
    <row r="88">
      <c r="A88" s="37" t="n"/>
      <c r="B88" s="37" t="n"/>
      <c r="C88" s="37" t="n"/>
      <c r="D88" s="38" t="n"/>
      <c r="E88" s="38" t="n"/>
      <c r="F88" s="38" t="n"/>
      <c r="G88" s="38" t="n"/>
      <c r="H88" s="38" t="n"/>
      <c r="I88" s="38" t="n"/>
      <c r="J88" s="38" t="n"/>
      <c r="K88" s="38" t="n"/>
      <c r="L88" s="38" t="n"/>
      <c r="M88" s="37" t="n"/>
      <c r="N88" s="37" t="n"/>
      <c r="O88" s="37" t="n"/>
      <c r="P88" s="6" t="n"/>
      <c r="Q88" s="6" t="n"/>
      <c r="R88" s="7" t="n"/>
    </row>
    <row r="89">
      <c r="A89" s="37" t="n"/>
      <c r="B89" s="37" t="n"/>
      <c r="C89" s="37" t="n"/>
      <c r="D89" s="38" t="n"/>
      <c r="E89" s="38" t="n"/>
      <c r="F89" s="38" t="n"/>
      <c r="G89" s="38" t="n"/>
      <c r="H89" s="38" t="n"/>
      <c r="I89" s="38" t="n"/>
      <c r="J89" s="38" t="n"/>
      <c r="K89" s="38" t="n"/>
      <c r="L89" s="38" t="n"/>
      <c r="M89" s="37" t="n"/>
      <c r="N89" s="37" t="n"/>
      <c r="O89" s="37" t="n"/>
      <c r="P89" s="6" t="n"/>
      <c r="Q89" s="6" t="n"/>
      <c r="R89" s="7" t="n"/>
    </row>
    <row r="90">
      <c r="A90" s="37" t="n"/>
      <c r="B90" s="37" t="n"/>
      <c r="C90" s="37" t="n"/>
      <c r="D90" s="38" t="n"/>
      <c r="E90" s="38" t="n"/>
      <c r="F90" s="38" t="n"/>
      <c r="G90" s="38" t="n"/>
      <c r="H90" s="38" t="n"/>
      <c r="I90" s="38" t="n"/>
      <c r="J90" s="38" t="n"/>
      <c r="K90" s="38" t="n"/>
      <c r="L90" s="38" t="n"/>
      <c r="M90" s="37" t="n"/>
      <c r="N90" s="37" t="n"/>
      <c r="O90" s="37" t="n"/>
      <c r="P90" s="6" t="n"/>
      <c r="Q90" s="6" t="n"/>
      <c r="R90" s="7" t="n"/>
    </row>
    <row r="91">
      <c r="A91" s="37" t="n"/>
      <c r="B91" s="37" t="n"/>
      <c r="C91" s="37" t="n"/>
      <c r="D91" s="38" t="n"/>
      <c r="E91" s="38" t="n"/>
      <c r="F91" s="38" t="n"/>
      <c r="G91" s="38" t="n"/>
      <c r="H91" s="38" t="n"/>
      <c r="I91" s="38" t="n"/>
      <c r="J91" s="38" t="n"/>
      <c r="K91" s="38" t="n"/>
      <c r="L91" s="38" t="n"/>
      <c r="M91" s="37" t="n"/>
      <c r="N91" s="37" t="n"/>
      <c r="O91" s="37" t="n"/>
      <c r="P91" s="6" t="n"/>
      <c r="Q91" s="6" t="n"/>
      <c r="R91" s="7" t="n"/>
    </row>
    <row r="92">
      <c r="A92" s="37" t="n"/>
      <c r="B92" s="37" t="n"/>
      <c r="C92" s="37" t="n"/>
      <c r="D92" s="38" t="n"/>
      <c r="E92" s="38" t="n"/>
      <c r="F92" s="38" t="n"/>
      <c r="G92" s="38" t="n"/>
      <c r="H92" s="38" t="n"/>
      <c r="I92" s="38" t="n"/>
      <c r="J92" s="38" t="n"/>
      <c r="K92" s="38" t="n"/>
      <c r="L92" s="38" t="n"/>
      <c r="M92" s="37" t="n"/>
      <c r="N92" s="37" t="n"/>
      <c r="O92" s="37" t="n"/>
      <c r="P92" s="6" t="n"/>
      <c r="Q92" s="6" t="n"/>
      <c r="R92" s="7" t="n"/>
    </row>
    <row r="93">
      <c r="A93" s="37" t="n"/>
      <c r="B93" s="37" t="n"/>
      <c r="C93" s="37" t="n"/>
      <c r="D93" s="38" t="n"/>
      <c r="E93" s="38" t="n"/>
      <c r="F93" s="38" t="n"/>
      <c r="G93" s="38" t="n"/>
      <c r="H93" s="38" t="n"/>
      <c r="I93" s="38" t="n"/>
      <c r="J93" s="38" t="n"/>
      <c r="K93" s="38" t="n"/>
      <c r="L93" s="38" t="n"/>
      <c r="M93" s="37" t="n"/>
      <c r="N93" s="37" t="n"/>
      <c r="O93" s="37" t="n"/>
      <c r="P93" s="6" t="n"/>
      <c r="Q93" s="6" t="n"/>
      <c r="R93" s="7" t="n"/>
    </row>
    <row r="94">
      <c r="A94" s="37" t="n"/>
      <c r="B94" s="37" t="n"/>
      <c r="C94" s="37" t="n"/>
      <c r="D94" s="38" t="n"/>
      <c r="E94" s="38" t="n"/>
      <c r="F94" s="38" t="n"/>
      <c r="G94" s="38" t="n"/>
      <c r="H94" s="38" t="n"/>
      <c r="I94" s="38" t="n"/>
      <c r="J94" s="38" t="n"/>
      <c r="K94" s="38" t="n"/>
      <c r="L94" s="38" t="n"/>
      <c r="M94" s="37" t="n"/>
      <c r="N94" s="37" t="n"/>
      <c r="O94" s="37" t="n"/>
      <c r="P94" s="6" t="n"/>
      <c r="Q94" s="6" t="n"/>
      <c r="R94" s="7" t="n"/>
    </row>
    <row r="95">
      <c r="A95" s="37" t="n"/>
      <c r="B95" s="37" t="n"/>
      <c r="C95" s="37" t="n"/>
      <c r="D95" s="38" t="n"/>
      <c r="E95" s="38" t="n"/>
      <c r="F95" s="38" t="n"/>
      <c r="G95" s="38" t="n"/>
      <c r="H95" s="38" t="n"/>
      <c r="I95" s="38" t="n"/>
      <c r="J95" s="38" t="n"/>
      <c r="K95" s="38" t="n"/>
      <c r="L95" s="38" t="n"/>
      <c r="M95" s="37" t="n"/>
      <c r="N95" s="37" t="n"/>
      <c r="O95" s="37" t="n"/>
      <c r="P95" s="6" t="n"/>
      <c r="Q95" s="6" t="n"/>
      <c r="R95" s="7" t="n"/>
    </row>
    <row r="96">
      <c r="A96" s="37" t="n"/>
      <c r="B96" s="37" t="n"/>
      <c r="C96" s="37" t="n"/>
      <c r="D96" s="38" t="n"/>
      <c r="E96" s="38" t="n"/>
      <c r="F96" s="38" t="n"/>
      <c r="G96" s="38" t="n"/>
      <c r="H96" s="38" t="n"/>
      <c r="I96" s="38" t="n"/>
      <c r="J96" s="38" t="n"/>
      <c r="K96" s="38" t="n"/>
      <c r="L96" s="38" t="n"/>
      <c r="M96" s="37" t="n"/>
      <c r="N96" s="37" t="n"/>
      <c r="O96" s="37" t="n"/>
      <c r="P96" s="6" t="n"/>
      <c r="Q96" s="6" t="n"/>
      <c r="R96" s="7" t="n"/>
    </row>
    <row r="97">
      <c r="A97" s="37" t="n"/>
      <c r="B97" s="37" t="n"/>
      <c r="C97" s="37" t="n"/>
      <c r="D97" s="38" t="n"/>
      <c r="E97" s="38" t="n"/>
      <c r="F97" s="38" t="n"/>
      <c r="G97" s="38" t="n"/>
      <c r="H97" s="38" t="n"/>
      <c r="I97" s="38" t="n"/>
      <c r="J97" s="38" t="n"/>
      <c r="K97" s="38" t="n"/>
      <c r="L97" s="38" t="n"/>
      <c r="M97" s="37" t="n"/>
      <c r="N97" s="37" t="n"/>
      <c r="O97" s="37" t="n"/>
      <c r="P97" s="6" t="n"/>
      <c r="Q97" s="6" t="n"/>
      <c r="R97" s="7" t="n"/>
    </row>
    <row r="98">
      <c r="A98" s="37" t="n"/>
      <c r="B98" s="37" t="n"/>
      <c r="C98" s="37" t="n"/>
      <c r="D98" s="38" t="n"/>
      <c r="E98" s="38" t="n"/>
      <c r="F98" s="38" t="n"/>
      <c r="G98" s="38" t="n"/>
      <c r="H98" s="38" t="n"/>
      <c r="I98" s="38" t="n"/>
      <c r="J98" s="38" t="n"/>
      <c r="K98" s="38" t="n"/>
      <c r="L98" s="38" t="n"/>
      <c r="M98" s="37" t="n"/>
      <c r="N98" s="37" t="n"/>
      <c r="O98" s="37" t="n"/>
      <c r="P98" s="6" t="n"/>
      <c r="Q98" s="6" t="n"/>
      <c r="R98" s="7" t="n"/>
    </row>
    <row r="99">
      <c r="A99" s="37" t="n"/>
      <c r="B99" s="37" t="n"/>
      <c r="C99" s="37" t="n"/>
      <c r="D99" s="38" t="n"/>
      <c r="E99" s="38" t="n"/>
      <c r="F99" s="38" t="n"/>
      <c r="G99" s="38" t="n"/>
      <c r="H99" s="38" t="n"/>
      <c r="I99" s="38" t="n"/>
      <c r="J99" s="38" t="n"/>
      <c r="K99" s="38" t="n"/>
      <c r="L99" s="38" t="n"/>
      <c r="M99" s="37" t="n"/>
      <c r="N99" s="37" t="n"/>
      <c r="O99" s="37" t="n"/>
      <c r="P99" s="6" t="n"/>
      <c r="Q99" s="6" t="n"/>
      <c r="R99" s="7" t="n"/>
    </row>
    <row r="100">
      <c r="A100" s="37" t="n"/>
      <c r="B100" s="37" t="n"/>
      <c r="C100" s="37" t="n"/>
      <c r="D100" s="38" t="n"/>
      <c r="E100" s="38" t="n"/>
      <c r="F100" s="38" t="n"/>
      <c r="G100" s="38" t="n"/>
      <c r="H100" s="38" t="n"/>
      <c r="I100" s="38" t="n"/>
      <c r="J100" s="38" t="n"/>
      <c r="K100" s="38" t="n"/>
      <c r="L100" s="38" t="n"/>
      <c r="M100" s="37" t="n"/>
      <c r="N100" s="37" t="n"/>
      <c r="O100" s="37" t="n"/>
      <c r="P100" s="6" t="n"/>
      <c r="Q100" s="6" t="n"/>
      <c r="R100" s="7" t="n"/>
    </row>
    <row r="101">
      <c r="A101" s="37" t="n"/>
      <c r="B101" s="37" t="n"/>
      <c r="C101" s="37" t="n"/>
      <c r="D101" s="38" t="n"/>
      <c r="E101" s="38" t="n"/>
      <c r="F101" s="38" t="n"/>
      <c r="G101" s="38" t="n"/>
      <c r="H101" s="38" t="n"/>
      <c r="I101" s="38" t="n"/>
      <c r="J101" s="38" t="n"/>
      <c r="K101" s="38" t="n"/>
      <c r="L101" s="38" t="n"/>
      <c r="M101" s="37" t="n"/>
      <c r="N101" s="37" t="n"/>
      <c r="O101" s="37" t="n"/>
      <c r="P101" s="6" t="n"/>
      <c r="Q101" s="6" t="n"/>
      <c r="R101" s="7" t="n"/>
    </row>
    <row r="102">
      <c r="A102" s="37" t="n"/>
      <c r="B102" s="37" t="n"/>
      <c r="C102" s="37" t="n"/>
      <c r="D102" s="38" t="n"/>
      <c r="E102" s="38" t="n"/>
      <c r="F102" s="38" t="n"/>
      <c r="G102" s="38" t="n"/>
      <c r="H102" s="38" t="n"/>
      <c r="I102" s="38" t="n"/>
      <c r="J102" s="38" t="n"/>
      <c r="K102" s="38" t="n"/>
      <c r="L102" s="38" t="n"/>
      <c r="M102" s="37" t="n"/>
      <c r="N102" s="37" t="n"/>
      <c r="O102" s="37" t="n"/>
      <c r="P102" s="6" t="n"/>
      <c r="Q102" s="6" t="n"/>
      <c r="R102" s="7" t="n"/>
    </row>
    <row r="103">
      <c r="A103" s="37" t="n"/>
      <c r="B103" s="37" t="n"/>
      <c r="C103" s="37" t="n"/>
      <c r="D103" s="38" t="n"/>
      <c r="E103" s="38" t="n"/>
      <c r="F103" s="38" t="n"/>
      <c r="G103" s="38" t="n"/>
      <c r="H103" s="38" t="n"/>
      <c r="I103" s="38" t="n"/>
      <c r="J103" s="38" t="n"/>
      <c r="K103" s="38" t="n"/>
      <c r="L103" s="38" t="n"/>
      <c r="M103" s="37" t="n"/>
      <c r="N103" s="37" t="n"/>
      <c r="O103" s="37" t="n"/>
      <c r="P103" s="6" t="n"/>
      <c r="Q103" s="6" t="n"/>
      <c r="R103" s="7" t="n"/>
    </row>
  </sheetData>
  <mergeCells count="2">
    <mergeCell ref="A2:R2"/>
    <mergeCell ref="A1:R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5"/>
  <sheetViews>
    <sheetView showGridLines="0" workbookViewId="0">
      <pane ySplit="4" topLeftCell="A44" activePane="bottomLeft" state="frozen"/>
      <selection pane="bottomLeft" activeCell="C5" sqref="C5"/>
    </sheetView>
  </sheetViews>
  <sheetFormatPr baseColWidth="8" defaultRowHeight="15"/>
  <cols>
    <col width="24" customWidth="1" style="25" min="1" max="2"/>
    <col width="34" customWidth="1" style="25" min="3" max="3"/>
    <col width="16" customWidth="1" style="25" min="4" max="4"/>
    <col width="96" customWidth="1" style="25" min="5" max="5"/>
  </cols>
  <sheetData>
    <row r="1" ht="18.75" customHeight="1" s="25">
      <c r="A1" s="30" t="inlineStr">
        <is>
          <t>BESS Peak-Shaving Sizing Tool — Parameter Definitions</t>
        </is>
      </c>
    </row>
    <row r="2">
      <c r="A2" s="29" t="inlineStr">
        <is>
          <t>Every input parameter, result field and calculated value across both tabs (Analysis &amp; BESS Sizing · Battery &amp; PCS Library).</t>
        </is>
      </c>
    </row>
    <row r="4">
      <c r="A4" s="18" t="inlineStr">
        <is>
          <t>Tab</t>
        </is>
      </c>
      <c r="B4" s="18" t="inlineStr">
        <is>
          <t>Section</t>
        </is>
      </c>
      <c r="C4" s="18" t="inlineStr">
        <is>
          <t>Parameter</t>
        </is>
      </c>
      <c r="D4" s="18" t="inlineStr">
        <is>
          <t>Unit</t>
        </is>
      </c>
      <c r="E4" s="18" t="inlineStr">
        <is>
          <t>Definition</t>
        </is>
      </c>
    </row>
    <row r="5" ht="30" customHeight="1" s="25">
      <c r="A5" s="19" t="inlineStr">
        <is>
          <t>Analysis &amp; BESS Sizing</t>
        </is>
      </c>
      <c r="B5" s="20" t="inlineStr">
        <is>
          <t>Load Data</t>
        </is>
      </c>
      <c r="C5" s="21" t="inlineStr">
        <is>
          <t>Upload load profile (.xlsx) or CSV</t>
        </is>
      </c>
      <c r="D5" s="22" t="inlineStr">
        <is>
          <t>file</t>
        </is>
      </c>
      <c r="E5" s="22" t="inlineStr">
        <is>
          <t>Customer's utility load profile: interval demand readings. The tool parses timestamps and load (kW), plus optional PV-generation and grid-export columns.</t>
        </is>
      </c>
    </row>
    <row r="6" ht="30" customHeight="1" s="25">
      <c r="A6" s="19" t="inlineStr">
        <is>
          <t>Analysis &amp; BESS Sizing</t>
        </is>
      </c>
      <c r="B6" s="20" t="inlineStr">
        <is>
          <t>Load Data</t>
        </is>
      </c>
      <c r="C6" s="21" t="inlineStr">
        <is>
          <t>Download CSV template</t>
        </is>
      </c>
      <c r="D6" s="22" t="inlineStr">
        <is>
          <t>file</t>
        </is>
      </c>
      <c r="E6" s="22" t="inlineStr">
        <is>
          <t>Downloads a blank CSV with the expected columns (timestamp, load_kw, pv_gen_kw, grid_export_kw) so data can be entered in the right format.</t>
        </is>
      </c>
    </row>
    <row r="7">
      <c r="A7" s="19" t="inlineStr">
        <is>
          <t>Analysis &amp; BESS Sizing</t>
        </is>
      </c>
      <c r="B7" s="20" t="inlineStr">
        <is>
          <t>Load Data</t>
        </is>
      </c>
      <c r="C7" s="21" t="inlineStr">
        <is>
          <t>Sheet</t>
        </is>
      </c>
      <c r="D7" s="22" t="inlineStr">
        <is>
          <t>—</t>
        </is>
      </c>
      <c r="E7" s="22" t="inlineStr">
        <is>
          <t>Which worksheet holds the load data (for .xlsx uploads).</t>
        </is>
      </c>
    </row>
    <row r="8">
      <c r="A8" s="19" t="inlineStr">
        <is>
          <t>Analysis &amp; BESS Sizing</t>
        </is>
      </c>
      <c r="B8" s="20" t="inlineStr">
        <is>
          <t>Load Data</t>
        </is>
      </c>
      <c r="C8" s="21" t="inlineStr">
        <is>
          <t>Header row</t>
        </is>
      </c>
      <c r="D8" s="22" t="inlineStr">
        <is>
          <t>row #</t>
        </is>
      </c>
      <c r="E8" s="22" t="inlineStr">
        <is>
          <t>The row number that contains the column titles.</t>
        </is>
      </c>
    </row>
    <row r="9">
      <c r="A9" s="19" t="inlineStr">
        <is>
          <t>Analysis &amp; BESS Sizing</t>
        </is>
      </c>
      <c r="B9" s="20" t="inlineStr">
        <is>
          <t>Load Data</t>
        </is>
      </c>
      <c r="C9" s="21" t="inlineStr">
        <is>
          <t>Timestamp columns</t>
        </is>
      </c>
      <c r="D9" s="22" t="inlineStr">
        <is>
          <t>combined / split</t>
        </is>
      </c>
      <c r="E9" s="22" t="inlineStr">
        <is>
          <t>Whether the date and time are in one column (combined) or two separate columns (date + time).</t>
        </is>
      </c>
    </row>
    <row r="10" ht="30" customHeight="1" s="25">
      <c r="A10" s="19" t="inlineStr">
        <is>
          <t>Analysis &amp; BESS Sizing</t>
        </is>
      </c>
      <c r="B10" s="20" t="inlineStr">
        <is>
          <t>Load Data</t>
        </is>
      </c>
      <c r="C10" s="21" t="inlineStr">
        <is>
          <t>Interval timestamp</t>
        </is>
      </c>
      <c r="D10" s="22" t="inlineStr">
        <is>
          <t>End / Start</t>
        </is>
      </c>
      <c r="E10" s="22" t="inlineStr">
        <is>
          <t>Whether a reading's timestamp marks the end or the start of its interval. This decides which readings fall inside the 14:00–22:00 sizing window.</t>
        </is>
      </c>
    </row>
    <row r="11">
      <c r="A11" s="19" t="inlineStr">
        <is>
          <t>Analysis &amp; BESS Sizing</t>
        </is>
      </c>
      <c r="B11" s="20" t="inlineStr">
        <is>
          <t>Load Data</t>
        </is>
      </c>
      <c r="C11" s="21" t="inlineStr">
        <is>
          <t>Timestamp column</t>
        </is>
      </c>
      <c r="D11" s="22" t="inlineStr">
        <is>
          <t>—</t>
        </is>
      </c>
      <c r="E11" s="22" t="inlineStr">
        <is>
          <t>Column holding the combined date+time (when timestamp columns = combined).</t>
        </is>
      </c>
    </row>
    <row r="12">
      <c r="A12" s="19" t="inlineStr">
        <is>
          <t>Analysis &amp; BESS Sizing</t>
        </is>
      </c>
      <c r="B12" s="20" t="inlineStr">
        <is>
          <t>Load Data</t>
        </is>
      </c>
      <c r="C12" s="21" t="inlineStr">
        <is>
          <t>Date column / Time column</t>
        </is>
      </c>
      <c r="D12" s="22" t="inlineStr">
        <is>
          <t>—</t>
        </is>
      </c>
      <c r="E12" s="22" t="inlineStr">
        <is>
          <t>Columns holding the date and the time (when timestamp columns = split).</t>
        </is>
      </c>
    </row>
    <row r="13">
      <c r="A13" s="19" t="inlineStr">
        <is>
          <t>Analysis &amp; BESS Sizing</t>
        </is>
      </c>
      <c r="B13" s="20" t="inlineStr">
        <is>
          <t>Load Data</t>
        </is>
      </c>
      <c r="C13" s="21" t="inlineStr">
        <is>
          <t>Load column</t>
        </is>
      </c>
      <c r="D13" s="22" t="inlineStr">
        <is>
          <t>kW</t>
        </is>
      </c>
      <c r="E13" s="22" t="inlineStr">
        <is>
          <t>Column holding the demand/load readings.</t>
        </is>
      </c>
    </row>
    <row r="14">
      <c r="A14" s="19" t="inlineStr">
        <is>
          <t>Analysis &amp; BESS Sizing</t>
        </is>
      </c>
      <c r="B14" s="20" t="inlineStr">
        <is>
          <t>Load Data</t>
        </is>
      </c>
      <c r="C14" s="21" t="inlineStr">
        <is>
          <t>PV generation column (optional)</t>
        </is>
      </c>
      <c r="D14" s="22" t="inlineStr">
        <is>
          <t>kW</t>
        </is>
      </c>
      <c r="E14" s="22" t="inlineStr">
        <is>
          <t>Optional on-site PV generation; used when PV basis uses detected PV (subtracted from load).</t>
        </is>
      </c>
    </row>
    <row r="15">
      <c r="A15" s="19" t="inlineStr">
        <is>
          <t>Analysis &amp; BESS Sizing</t>
        </is>
      </c>
      <c r="B15" s="20" t="inlineStr">
        <is>
          <t>Load Data</t>
        </is>
      </c>
      <c r="C15" s="21" t="inlineStr">
        <is>
          <t>Grid export column (optional)</t>
        </is>
      </c>
      <c r="D15" s="22" t="inlineStr">
        <is>
          <t>kW</t>
        </is>
      </c>
      <c r="E15" s="22" t="inlineStr">
        <is>
          <t>Optional energy exported to the grid (subtracted from load).</t>
        </is>
      </c>
    </row>
    <row r="16">
      <c r="A16" s="19" t="inlineStr">
        <is>
          <t>Analysis &amp; BESS Sizing</t>
        </is>
      </c>
      <c r="B16" s="20" t="inlineStr">
        <is>
          <t>Load Data</t>
        </is>
      </c>
      <c r="C16" s="21" t="inlineStr">
        <is>
          <t>Unit</t>
        </is>
      </c>
      <c r="D16" s="22" t="inlineStr">
        <is>
          <t>kW / MW / W</t>
        </is>
      </c>
      <c r="E16" s="22" t="inlineStr">
        <is>
          <t>Unit of the load readings (converted to kW internally).</t>
        </is>
      </c>
    </row>
    <row r="17">
      <c r="A17" s="19" t="inlineStr">
        <is>
          <t>Analysis &amp; BESS Sizing</t>
        </is>
      </c>
      <c r="B17" s="20" t="inlineStr">
        <is>
          <t>Load Data</t>
        </is>
      </c>
      <c r="C17" s="21" t="inlineStr">
        <is>
          <t>Interval (minutes)</t>
        </is>
      </c>
      <c r="D17" s="22" t="inlineStr">
        <is>
          <t>min</t>
        </is>
      </c>
      <c r="E17" s="22" t="inlineStr">
        <is>
          <t>Time step of the readings (e.g. 30). The tool verifies the readings tile the 14:00–22:00 window.</t>
        </is>
      </c>
    </row>
    <row r="18">
      <c r="A18" s="19" t="inlineStr">
        <is>
          <t>Analysis &amp; BESS Sizing</t>
        </is>
      </c>
      <c r="B18" s="20" t="inlineStr">
        <is>
          <t>Validation summary</t>
        </is>
      </c>
      <c r="C18" s="21" t="inlineStr">
        <is>
          <t>Raw readings</t>
        </is>
      </c>
      <c r="D18" s="22" t="inlineStr">
        <is>
          <t>#</t>
        </is>
      </c>
      <c r="E18" s="22" t="inlineStr">
        <is>
          <t>Total rows found in the uploaded file.</t>
        </is>
      </c>
    </row>
    <row r="19">
      <c r="A19" s="19" t="inlineStr">
        <is>
          <t>Analysis &amp; BESS Sizing</t>
        </is>
      </c>
      <c r="B19" s="20" t="inlineStr">
        <is>
          <t>Validation summary</t>
        </is>
      </c>
      <c r="C19" s="21" t="inlineStr">
        <is>
          <t>Parsed readings</t>
        </is>
      </c>
      <c r="D19" s="22" t="inlineStr">
        <is>
          <t>#</t>
        </is>
      </c>
      <c r="E19" s="22" t="inlineStr">
        <is>
          <t>Rows successfully parsed into timestamp + load.</t>
        </is>
      </c>
    </row>
    <row r="20">
      <c r="A20" s="19" t="inlineStr">
        <is>
          <t>Analysis &amp; BESS Sizing</t>
        </is>
      </c>
      <c r="B20" s="20" t="inlineStr">
        <is>
          <t>Validation summary</t>
        </is>
      </c>
      <c r="C20" s="21" t="inlineStr">
        <is>
          <t>Invalid readings</t>
        </is>
      </c>
      <c r="D20" s="22" t="inlineStr">
        <is>
          <t>#</t>
        </is>
      </c>
      <c r="E20" s="22" t="inlineStr">
        <is>
          <t>Rows that could not be parsed.</t>
        </is>
      </c>
    </row>
    <row r="21">
      <c r="A21" s="19" t="inlineStr">
        <is>
          <t>Analysis &amp; BESS Sizing</t>
        </is>
      </c>
      <c r="B21" s="20" t="inlineStr">
        <is>
          <t>Validation summary</t>
        </is>
      </c>
      <c r="C21" s="21" t="inlineStr">
        <is>
          <t>Duplicate readings</t>
        </is>
      </c>
      <c r="D21" s="22" t="inlineStr">
        <is>
          <t>#</t>
        </is>
      </c>
      <c r="E21" s="22" t="inlineStr">
        <is>
          <t>Repeated timestamps.</t>
        </is>
      </c>
    </row>
    <row r="22">
      <c r="A22" s="19" t="inlineStr">
        <is>
          <t>Analysis &amp; BESS Sizing</t>
        </is>
      </c>
      <c r="B22" s="20" t="inlineStr">
        <is>
          <t>Validation summary</t>
        </is>
      </c>
      <c r="C22" s="21" t="inlineStr">
        <is>
          <t>Days</t>
        </is>
      </c>
      <c r="D22" s="22" t="inlineStr">
        <is>
          <t>#</t>
        </is>
      </c>
      <c r="E22" s="22" t="inlineStr">
        <is>
          <t>Distinct calendar days in the profile.</t>
        </is>
      </c>
    </row>
    <row r="23">
      <c r="A23" s="19" t="inlineStr">
        <is>
          <t>Analysis &amp; BESS Sizing</t>
        </is>
      </c>
      <c r="B23" s="20" t="inlineStr">
        <is>
          <t>Validation summary</t>
        </is>
      </c>
      <c r="C23" s="21" t="inlineStr">
        <is>
          <t>Complete days</t>
        </is>
      </c>
      <c r="D23" s="22" t="inlineStr">
        <is>
          <t>#</t>
        </is>
      </c>
      <c r="E23" s="22" t="inlineStr">
        <is>
          <t>Days with every expected interval inside 14:00–22:00. Only these are used for sizing.</t>
        </is>
      </c>
    </row>
    <row r="24">
      <c r="A24" s="19" t="inlineStr">
        <is>
          <t>Analysis &amp; BESS Sizing</t>
        </is>
      </c>
      <c r="B24" s="20" t="inlineStr">
        <is>
          <t>Validation summary</t>
        </is>
      </c>
      <c r="C24" s="21" t="inlineStr">
        <is>
          <t>Incomplete days / missing intervals</t>
        </is>
      </c>
      <c r="D24" s="22" t="inlineStr">
        <is>
          <t>#</t>
        </is>
      </c>
      <c r="E24" s="22" t="inlineStr">
        <is>
          <t>Days with gaps or off-window readings (excluded from sizing).</t>
        </is>
      </c>
    </row>
    <row r="25" ht="30" customHeight="1" s="25">
      <c r="A25" s="19" t="inlineStr">
        <is>
          <t>Analysis &amp; BESS Sizing</t>
        </is>
      </c>
      <c r="B25" s="20" t="inlineStr">
        <is>
          <t>Chart</t>
        </is>
      </c>
      <c r="C25" s="21" t="inlineStr">
        <is>
          <t>Chart view</t>
        </is>
      </c>
      <c r="D25" s="22" t="inlineStr">
        <is>
          <t>Highest demand / Governing Energy</t>
        </is>
      </c>
      <c r="E25" s="22" t="inlineStr">
        <is>
          <t>Which day to plot: the day with the single highest load, or the day that drives the battery size (most energy to shave).</t>
        </is>
      </c>
    </row>
    <row r="26">
      <c r="A26" s="19" t="inlineStr">
        <is>
          <t>Analysis &amp; BESS Sizing</t>
        </is>
      </c>
      <c r="B26" s="20" t="inlineStr">
        <is>
          <t>Chart</t>
        </is>
      </c>
      <c r="C26" s="21" t="inlineStr">
        <is>
          <t>Highest demand (KPI)</t>
        </is>
      </c>
      <c r="D26" s="22" t="inlineStr">
        <is>
          <t>kW · date</t>
        </is>
      </c>
      <c r="E26" s="22" t="inlineStr">
        <is>
          <t>The highest demand reading found in the whole profile (peak demand).</t>
        </is>
      </c>
    </row>
    <row r="27">
      <c r="A27" s="19" t="inlineStr">
        <is>
          <t>Analysis &amp; BESS Sizing</t>
        </is>
      </c>
      <c r="B27" s="20" t="inlineStr">
        <is>
          <t>Chart</t>
        </is>
      </c>
      <c r="C27" s="21" t="inlineStr">
        <is>
          <t>Governing energy day (KPI)</t>
        </is>
      </c>
      <c r="D27" s="22" t="inlineStr">
        <is>
          <t>kWh · date</t>
        </is>
      </c>
      <c r="E27" s="22" t="inlineStr">
        <is>
          <t>The day whose shaving needs the most energy — this day sets the battery size.</t>
        </is>
      </c>
    </row>
    <row r="28">
      <c r="A28" s="19" t="inlineStr">
        <is>
          <t>Analysis &amp; BESS Sizing</t>
        </is>
      </c>
      <c r="B28" s="20" t="inlineStr">
        <is>
          <t>Chart</t>
        </is>
      </c>
      <c r="C28" s="21" t="inlineStr">
        <is>
          <t>Load (before PV)  [legend]</t>
        </is>
      </c>
      <c r="D28" s="22" t="inlineStr">
        <is>
          <t>kW</t>
        </is>
      </c>
      <c r="E28" s="22" t="inlineStr">
        <is>
          <t>Customer's demand before any PV offset (grey line).</t>
        </is>
      </c>
    </row>
    <row r="29">
      <c r="A29" s="19" t="inlineStr">
        <is>
          <t>Analysis &amp; BESS Sizing</t>
        </is>
      </c>
      <c r="B29" s="20" t="inlineStr">
        <is>
          <t>Chart</t>
        </is>
      </c>
      <c r="C29" s="21" t="inlineStr">
        <is>
          <t>Shave-to target  [legend]</t>
        </is>
      </c>
      <c r="D29" s="22" t="inlineStr">
        <is>
          <t>kW</t>
        </is>
      </c>
      <c r="E29" s="22" t="inlineStr">
        <is>
          <t>Horizontal target line — the level demand is shaved down to (red dashed line).</t>
        </is>
      </c>
    </row>
    <row r="30">
      <c r="A30" s="19" t="inlineStr">
        <is>
          <t>Analysis &amp; BESS Sizing</t>
        </is>
      </c>
      <c r="B30" s="20" t="inlineStr">
        <is>
          <t>Chart</t>
        </is>
      </c>
      <c r="C30" s="21" t="inlineStr">
        <is>
          <t>Battery discharge  [legend]</t>
        </is>
      </c>
      <c r="D30" s="22" t="inlineStr">
        <is>
          <t>kW</t>
        </is>
      </c>
      <c r="E30" s="22" t="inlineStr">
        <is>
          <t>Green bars — the power the BESS discharges each interval (load above target, capped by available power and energy).</t>
        </is>
      </c>
    </row>
    <row r="31">
      <c r="A31" s="19" t="inlineStr">
        <is>
          <t>Analysis &amp; BESS Sizing</t>
        </is>
      </c>
      <c r="B31" s="20" t="inlineStr">
        <is>
          <t>Chart</t>
        </is>
      </c>
      <c r="C31" s="21" t="inlineStr">
        <is>
          <t>Grid after BESS  [legend]</t>
        </is>
      </c>
      <c r="D31" s="22" t="inlineStr">
        <is>
          <t>kW</t>
        </is>
      </c>
      <c r="E31" s="22" t="inlineStr">
        <is>
          <t>The demand seen by the grid after discharge (load − discharge). If it stays at/below the target, the sizing is sufficient.</t>
        </is>
      </c>
    </row>
    <row r="32">
      <c r="A32" s="19" t="inlineStr">
        <is>
          <t>Analysis &amp; BESS Sizing</t>
        </is>
      </c>
      <c r="B32" s="20" t="inlineStr">
        <is>
          <t>Chart</t>
        </is>
      </c>
      <c r="C32" s="21" t="inlineStr">
        <is>
          <t>Peak before</t>
        </is>
      </c>
      <c r="D32" s="22" t="inlineStr">
        <is>
          <t>kW</t>
        </is>
      </c>
      <c r="E32" s="22" t="inlineStr">
        <is>
          <t>Peak load before the BESS acts.</t>
        </is>
      </c>
    </row>
    <row r="33">
      <c r="A33" s="19" t="inlineStr">
        <is>
          <t>Analysis &amp; BESS Sizing</t>
        </is>
      </c>
      <c r="B33" s="20" t="inlineStr">
        <is>
          <t>Chart</t>
        </is>
      </c>
      <c r="C33" s="21" t="inlineStr">
        <is>
          <t>Peak after</t>
        </is>
      </c>
      <c r="D33" s="22" t="inlineStr">
        <is>
          <t>kW</t>
        </is>
      </c>
      <c r="E33" s="22" t="inlineStr">
        <is>
          <t>Peak grid demand after the BESS acts.</t>
        </is>
      </c>
    </row>
    <row r="34">
      <c r="A34" s="19" t="inlineStr">
        <is>
          <t>Analysis &amp; BESS Sizing</t>
        </is>
      </c>
      <c r="B34" s="20" t="inlineStr">
        <is>
          <t>Chart</t>
        </is>
      </c>
      <c r="C34" s="21" t="inlineStr">
        <is>
          <t>Peak reduction</t>
        </is>
      </c>
      <c r="D34" s="22" t="inlineStr">
        <is>
          <t>%</t>
        </is>
      </c>
      <c r="E34" s="22" t="inlineStr">
        <is>
          <t>(Peak before − Peak after) ÷ Peak before × 100.</t>
        </is>
      </c>
    </row>
    <row r="35" ht="30" customHeight="1" s="25">
      <c r="A35" s="19" t="inlineStr">
        <is>
          <t>Analysis &amp; BESS Sizing</t>
        </is>
      </c>
      <c r="B35" s="20" t="inlineStr">
        <is>
          <t>Sizing controls</t>
        </is>
      </c>
      <c r="C35" s="21" t="inlineStr">
        <is>
          <t>Sizing strategy</t>
        </is>
      </c>
      <c r="D35" s="22" t="inlineStr">
        <is>
          <t>Static / Dynamic / Constant</t>
        </is>
      </c>
      <c r="E35" s="22" t="inlineStr">
        <is>
          <t>How the BESS is commanded. Static Threshold: shave every interval above the target. Dynamic Discharge: follow the target across each day. Constant Discharge: apply a fixed kW.</t>
        </is>
      </c>
    </row>
    <row r="36">
      <c r="A36" s="19" t="inlineStr">
        <is>
          <t>Analysis &amp; BESS Sizing</t>
        </is>
      </c>
      <c r="B36" s="20" t="inlineStr">
        <is>
          <t>Sizing controls</t>
        </is>
      </c>
      <c r="C36" s="21" t="inlineStr">
        <is>
          <t>Shave-to Target Grid Load</t>
        </is>
      </c>
      <c r="D36" s="22" t="inlineStr">
        <is>
          <t>kW</t>
        </is>
      </c>
      <c r="E36" s="22" t="inlineStr">
        <is>
          <t>The demand level to shave down to. Lower = shave more of the peak.</t>
        </is>
      </c>
    </row>
    <row r="37">
      <c r="A37" s="19" t="inlineStr">
        <is>
          <t>Analysis &amp; BESS Sizing</t>
        </is>
      </c>
      <c r="B37" s="20" t="inlineStr">
        <is>
          <t>Sizing controls</t>
        </is>
      </c>
      <c r="C37" s="21" t="inlineStr">
        <is>
          <t>Auto-calculate sustainable target</t>
        </is>
      </c>
      <c r="D37" s="22" t="inlineStr">
        <is>
          <t>—</t>
        </is>
      </c>
      <c r="E37" s="22" t="inlineStr">
        <is>
          <t>Finds the lowest target the current pack count can sustain (given reserve margin and power limit).</t>
        </is>
      </c>
    </row>
    <row r="38">
      <c r="A38" s="19" t="inlineStr">
        <is>
          <t>Analysis &amp; BESS Sizing</t>
        </is>
      </c>
      <c r="B38" s="20" t="inlineStr">
        <is>
          <t>Sizing controls</t>
        </is>
      </c>
      <c r="C38" s="21" t="inlineStr">
        <is>
          <t>Discharge power (Constant strategy)</t>
        </is>
      </c>
      <c r="D38" s="22" t="inlineStr">
        <is>
          <t>kW</t>
        </is>
      </c>
      <c r="E38" s="22" t="inlineStr">
        <is>
          <t>Fixed discharge power used when the strategy is Constant Discharge.</t>
        </is>
      </c>
    </row>
    <row r="39" ht="30" customHeight="1" s="25">
      <c r="A39" s="19" t="inlineStr">
        <is>
          <t>Analysis &amp; BESS Sizing</t>
        </is>
      </c>
      <c r="B39" s="20" t="inlineStr">
        <is>
          <t>Sizing controls</t>
        </is>
      </c>
      <c r="C39" s="21" t="inlineStr">
        <is>
          <t>Reserve margin</t>
        </is>
      </c>
      <c r="D39" s="22" t="inlineStr">
        <is>
          <t>%</t>
        </is>
      </c>
      <c r="E39" s="22" t="inlineStr">
        <is>
          <t>Safety cushion added to the required energy: energy packs = ceil(required energy × (1 + reserve) ÷ usable per pack). Higher reserve = bigger battery, more headroom. Default 10%.</t>
        </is>
      </c>
    </row>
    <row r="40">
      <c r="A40" s="19" t="inlineStr">
        <is>
          <t>Analysis &amp; BESS Sizing</t>
        </is>
      </c>
      <c r="B40" s="20" t="inlineStr">
        <is>
          <t>Sizing controls</t>
        </is>
      </c>
      <c r="C40" s="21" t="inlineStr">
        <is>
          <t>Battery model</t>
        </is>
      </c>
      <c r="D40" s="22" t="inlineStr">
        <is>
          <t>—</t>
        </is>
      </c>
      <c r="E40" s="22" t="inlineStr">
        <is>
          <t>Which library model (pack) the sizing uses.</t>
        </is>
      </c>
    </row>
    <row r="41">
      <c r="A41" s="19" t="inlineStr">
        <is>
          <t>Analysis &amp; BESS Sizing</t>
        </is>
      </c>
      <c r="B41" s="20" t="inlineStr">
        <is>
          <t>Sizing controls</t>
        </is>
      </c>
      <c r="C41" s="21" t="inlineStr">
        <is>
          <t>Design sizing year</t>
        </is>
      </c>
      <c r="D41" s="22" t="inlineStr">
        <is>
          <t>15</t>
        </is>
      </c>
      <c r="E41" s="22" t="inlineStr">
        <is>
          <t>Energy capacity is derated to Year 15 (degradation). Power is NOT degradation-derated.</t>
        </is>
      </c>
    </row>
    <row r="42" ht="30" customHeight="1" s="25">
      <c r="A42" s="19" t="inlineStr">
        <is>
          <t>Analysis &amp; BESS Sizing</t>
        </is>
      </c>
      <c r="B42" s="20" t="inlineStr">
        <is>
          <t>Sizing controls</t>
        </is>
      </c>
      <c r="C42" s="21" t="inlineStr">
        <is>
          <t>PV basis</t>
        </is>
      </c>
      <c r="D42" s="22" t="inlineStr">
        <is>
          <t>No PV / Estimated</t>
        </is>
      </c>
      <c r="E42" s="22" t="inlineStr">
        <is>
          <t>Whether the load is net of PV. 'Estimated' subtracts a shaped PV curve derived from the monthly PV energy + peak power (preliminary).</t>
        </is>
      </c>
    </row>
    <row r="43">
      <c r="A43" s="19" t="inlineStr">
        <is>
          <t>Analysis &amp; BESS Sizing</t>
        </is>
      </c>
      <c r="B43" s="20" t="inlineStr">
        <is>
          <t>Sizing controls</t>
        </is>
      </c>
      <c r="C43" s="21" t="inlineStr">
        <is>
          <t>Monthly PV energy</t>
        </is>
      </c>
      <c r="D43" s="22" t="inlineStr">
        <is>
          <t>kWh</t>
        </is>
      </c>
      <c r="E43" s="22" t="inlineStr">
        <is>
          <t>Estimated monthly PV generation (preliminary, not bankable).</t>
        </is>
      </c>
    </row>
    <row r="44">
      <c r="A44" s="19" t="inlineStr">
        <is>
          <t>Analysis &amp; BESS Sizing</t>
        </is>
      </c>
      <c r="B44" s="20" t="inlineStr">
        <is>
          <t>Sizing controls</t>
        </is>
      </c>
      <c r="C44" s="21" t="inlineStr">
        <is>
          <t>PV peak power</t>
        </is>
      </c>
      <c r="D44" s="22" t="inlineStr">
        <is>
          <t>kW</t>
        </is>
      </c>
      <c r="E44" s="22" t="inlineStr">
        <is>
          <t>Estimated PV system peak power (preliminary, not bankable).</t>
        </is>
      </c>
    </row>
    <row r="45">
      <c r="A45" s="19" t="inlineStr">
        <is>
          <t>Analysis &amp; BESS Sizing</t>
        </is>
      </c>
      <c r="B45" s="20" t="inlineStr">
        <is>
          <t>Sizing controls</t>
        </is>
      </c>
      <c r="C45" s="21" t="inlineStr">
        <is>
          <t>Sizing window (fixed)</t>
        </is>
      </c>
      <c r="D45" s="22" t="inlineStr">
        <is>
          <t>14:00–22:00</t>
        </is>
      </c>
      <c r="E45" s="22" t="inlineStr">
        <is>
          <t>The peak-tariff window. Only demand inside this window drives the demand charge, so only it is shaved.</t>
        </is>
      </c>
    </row>
    <row r="46">
      <c r="A46" s="19" t="inlineStr">
        <is>
          <t>Analysis &amp; BESS Sizing</t>
        </is>
      </c>
      <c r="B46" s="20" t="inlineStr">
        <is>
          <t>Sizing controls</t>
        </is>
      </c>
      <c r="C46" s="21" t="inlineStr">
        <is>
          <t>Operational control window (Start / End)</t>
        </is>
      </c>
      <c r="D46" s="22" t="inlineStr">
        <is>
          <t>time</t>
        </is>
      </c>
      <c r="E46" s="22" t="inlineStr">
        <is>
          <t>When the BESS is allowed to discharge. Should cover the full 14:00–22:00 sizing window.</t>
        </is>
      </c>
    </row>
    <row r="47">
      <c r="A47" s="19" t="inlineStr">
        <is>
          <t>Analysis &amp; BESS Sizing</t>
        </is>
      </c>
      <c r="B47" s="20" t="inlineStr">
        <is>
          <t>Recommended sizing (results)</t>
        </is>
      </c>
      <c r="C47" s="21" t="inlineStr">
        <is>
          <t>Governing day</t>
        </is>
      </c>
      <c r="D47" s="22" t="inlineStr">
        <is>
          <t>date</t>
        </is>
      </c>
      <c r="E47" s="22" t="inlineStr">
        <is>
          <t>The day with the highest required shaving energy.</t>
        </is>
      </c>
    </row>
    <row r="48">
      <c r="A48" s="19" t="inlineStr">
        <is>
          <t>Analysis &amp; BESS Sizing</t>
        </is>
      </c>
      <c r="B48" s="20" t="inlineStr">
        <is>
          <t>Recommended sizing (results)</t>
        </is>
      </c>
      <c r="C48" s="21" t="inlineStr">
        <is>
          <t>Required energy</t>
        </is>
      </c>
      <c r="D48" s="22" t="inlineStr">
        <is>
          <t>kWh</t>
        </is>
      </c>
      <c r="E48" s="22" t="inlineStr">
        <is>
          <t>Energy the BESS must deliver on the governing day to shave to the target.</t>
        </is>
      </c>
    </row>
    <row r="49">
      <c r="A49" s="19" t="inlineStr">
        <is>
          <t>Analysis &amp; BESS Sizing</t>
        </is>
      </c>
      <c r="B49" s="20" t="inlineStr">
        <is>
          <t>Recommended sizing (results)</t>
        </is>
      </c>
      <c r="C49" s="21" t="inlineStr">
        <is>
          <t>Energy packs</t>
        </is>
      </c>
      <c r="D49" s="22" t="inlineStr">
        <is>
          <t>#</t>
        </is>
      </c>
      <c r="E49" s="22" t="inlineStr">
        <is>
          <t>Number of packs needed for energy (rounded up).</t>
        </is>
      </c>
    </row>
    <row r="50">
      <c r="A50" s="19" t="inlineStr">
        <is>
          <t>Analysis &amp; BESS Sizing</t>
        </is>
      </c>
      <c r="B50" s="20" t="inlineStr">
        <is>
          <t>Recommended sizing (results)</t>
        </is>
      </c>
      <c r="C50" s="21" t="inlineStr">
        <is>
          <t>Nameplate (gross)</t>
        </is>
      </c>
      <c r="D50" s="22" t="inlineStr">
        <is>
          <t>kWh</t>
        </is>
      </c>
      <c r="E50" s="22" t="inlineStr">
        <is>
          <t>Total gross (nameplate) energy = packs × gross kWh per pack.</t>
        </is>
      </c>
    </row>
    <row r="51">
      <c r="A51" s="19" t="inlineStr">
        <is>
          <t>Analysis &amp; BESS Sizing</t>
        </is>
      </c>
      <c r="B51" s="20" t="inlineStr">
        <is>
          <t>Recommended sizing (results)</t>
        </is>
      </c>
      <c r="C51" s="21" t="inlineStr">
        <is>
          <t>Usable capacity</t>
        </is>
      </c>
      <c r="D51" s="22" t="inlineStr">
        <is>
          <t>kWh</t>
        </is>
      </c>
      <c r="E51" s="22" t="inlineStr">
        <is>
          <t>Total usable energy at Year 1.</t>
        </is>
      </c>
    </row>
    <row r="52">
      <c r="A52" s="19" t="inlineStr">
        <is>
          <t>Analysis &amp; BESS Sizing</t>
        </is>
      </c>
      <c r="B52" s="20" t="inlineStr">
        <is>
          <t>Recommended sizing (results)</t>
        </is>
      </c>
      <c r="C52" s="21" t="inlineStr">
        <is>
          <t>Year-15 usable capacity</t>
        </is>
      </c>
      <c r="D52" s="22" t="inlineStr">
        <is>
          <t>kWh</t>
        </is>
      </c>
      <c r="E52" s="22" t="inlineStr">
        <is>
          <t>Total usable energy at Year 15 (degradation-derated).</t>
        </is>
      </c>
    </row>
    <row r="53">
      <c r="A53" s="19" t="inlineStr">
        <is>
          <t>Analysis &amp; BESS Sizing</t>
        </is>
      </c>
      <c r="B53" s="20" t="inlineStr">
        <is>
          <t>Recommended sizing (results)</t>
        </is>
      </c>
      <c r="C53" s="21" t="inlineStr">
        <is>
          <t>Required power</t>
        </is>
      </c>
      <c r="D53" s="22" t="inlineStr">
        <is>
          <t>kW</t>
        </is>
      </c>
      <c r="E53" s="22" t="inlineStr">
        <is>
          <t>Peak instantaneous discharge needed to shave the peak interval.</t>
        </is>
      </c>
    </row>
    <row r="54">
      <c r="A54" s="19" t="inlineStr">
        <is>
          <t>Analysis &amp; BESS Sizing</t>
        </is>
      </c>
      <c r="B54" s="20" t="inlineStr">
        <is>
          <t>Recommended sizing (results)</t>
        </is>
      </c>
      <c r="C54" s="21" t="inlineStr">
        <is>
          <t>PCS quantity</t>
        </is>
      </c>
      <c r="D54" s="22" t="inlineStr">
        <is>
          <t>#</t>
        </is>
      </c>
      <c r="E54" s="22" t="inlineStr">
        <is>
          <t>Number of PCS (inverters) needed to deliver the required power.</t>
        </is>
      </c>
    </row>
    <row r="55">
      <c r="A55" s="19" t="inlineStr">
        <is>
          <t>Analysis &amp; BESS Sizing</t>
        </is>
      </c>
      <c r="B55" s="20" t="inlineStr">
        <is>
          <t>Recommended sizing (results)</t>
        </is>
      </c>
      <c r="C55" s="21" t="inlineStr">
        <is>
          <t>Power-constrained packs</t>
        </is>
      </c>
      <c r="D55" s="22" t="inlineStr">
        <is>
          <t>#</t>
        </is>
      </c>
      <c r="E55" s="22" t="inlineStr">
        <is>
          <t>Packs needed for power. If this exceeds energy packs, the battery is power-limited (a warning is shown).</t>
        </is>
      </c>
    </row>
    <row r="56">
      <c r="A56" s="23" t="inlineStr">
        <is>
          <t>Battery &amp; PCS Library</t>
        </is>
      </c>
      <c r="B56" s="20" t="inlineStr">
        <is>
          <t>Model fields (form + Excel)</t>
        </is>
      </c>
      <c r="C56" s="21" t="inlineStr">
        <is>
          <t>Model_ID</t>
        </is>
      </c>
      <c r="D56" s="22" t="inlineStr">
        <is>
          <t>text</t>
        </is>
      </c>
      <c r="E56" s="22" t="inlineStr">
        <is>
          <t>Unique stable identifier (not shown in the UI; used by the Excel import — duplicate IDs are rejected).</t>
        </is>
      </c>
    </row>
    <row r="57">
      <c r="A57" s="23" t="inlineStr">
        <is>
          <t>Battery &amp; PCS Library</t>
        </is>
      </c>
      <c r="B57" s="20" t="inlineStr">
        <is>
          <t>Model fields (form + Excel)</t>
        </is>
      </c>
      <c r="C57" s="21" t="inlineStr">
        <is>
          <t>Brand</t>
        </is>
      </c>
      <c r="D57" s="22" t="inlineStr">
        <is>
          <t>text</t>
        </is>
      </c>
      <c r="E57" s="22" t="inlineStr">
        <is>
          <t>Manufacturer or supplier name.</t>
        </is>
      </c>
    </row>
    <row r="58">
      <c r="A58" s="23" t="inlineStr">
        <is>
          <t>Battery &amp; PCS Library</t>
        </is>
      </c>
      <c r="B58" s="20" t="inlineStr">
        <is>
          <t>Model fields (form + Excel)</t>
        </is>
      </c>
      <c r="C58" s="21" t="inlineStr">
        <is>
          <t>Name / Model_Name</t>
        </is>
      </c>
      <c r="D58" s="22" t="inlineStr">
        <is>
          <t>text</t>
        </is>
      </c>
      <c r="E58" s="22" t="inlineStr">
        <is>
          <t>Customer-facing battery model name.</t>
        </is>
      </c>
    </row>
    <row r="59">
      <c r="A59" s="23" t="inlineStr">
        <is>
          <t>Battery &amp; PCS Library</t>
        </is>
      </c>
      <c r="B59" s="20" t="inlineStr">
        <is>
          <t>Model fields (form + Excel)</t>
        </is>
      </c>
      <c r="C59" s="21" t="inlineStr">
        <is>
          <t>Gross Pack kWh</t>
        </is>
      </c>
      <c r="D59" s="22" t="inlineStr">
        <is>
          <t>kWh</t>
        </is>
      </c>
      <c r="E59" s="22" t="inlineStr">
        <is>
          <t>Nameplate energy of one battery pack/container.</t>
        </is>
      </c>
    </row>
    <row r="60">
      <c r="A60" s="23" t="inlineStr">
        <is>
          <t>Battery &amp; PCS Library</t>
        </is>
      </c>
      <c r="B60" s="20" t="inlineStr">
        <is>
          <t>Model fields (form + Excel)</t>
        </is>
      </c>
      <c r="C60" s="21" t="inlineStr">
        <is>
          <t>Min SOC %</t>
        </is>
      </c>
      <c r="D60" s="22" t="inlineStr">
        <is>
          <t>%</t>
        </is>
      </c>
      <c r="E60" s="22" t="inlineStr">
        <is>
          <t>Minimum allowed state of charge (operating floor).</t>
        </is>
      </c>
    </row>
    <row r="61">
      <c r="A61" s="23" t="inlineStr">
        <is>
          <t>Battery &amp; PCS Library</t>
        </is>
      </c>
      <c r="B61" s="20" t="inlineStr">
        <is>
          <t>Model fields (form + Excel)</t>
        </is>
      </c>
      <c r="C61" s="21" t="inlineStr">
        <is>
          <t>Max SOC %</t>
        </is>
      </c>
      <c r="D61" s="22" t="inlineStr">
        <is>
          <t>%</t>
        </is>
      </c>
      <c r="E61" s="22" t="inlineStr">
        <is>
          <t>Maximum allowed state of charge (operating ceiling).</t>
        </is>
      </c>
    </row>
    <row r="62">
      <c r="A62" s="23" t="inlineStr">
        <is>
          <t>Battery &amp; PCS Library</t>
        </is>
      </c>
      <c r="B62" s="20" t="inlineStr">
        <is>
          <t>Model fields (form + Excel)</t>
        </is>
      </c>
      <c r="C62" s="21" t="inlineStr">
        <is>
          <t>RTE %</t>
        </is>
      </c>
      <c r="D62" s="22" t="inlineStr">
        <is>
          <t>%</t>
        </is>
      </c>
      <c r="E62" s="22" t="inlineStr">
        <is>
          <t>Round-trip efficiency (AC-to-AC system RTE).</t>
        </is>
      </c>
    </row>
    <row r="63">
      <c r="A63" s="23" t="inlineStr">
        <is>
          <t>Battery &amp; PCS Library</t>
        </is>
      </c>
      <c r="B63" s="20" t="inlineStr">
        <is>
          <t>Model fields (form + Excel)</t>
        </is>
      </c>
      <c r="C63" s="21" t="inlineStr">
        <is>
          <t>Auxiliary factor %</t>
        </is>
      </c>
      <c r="D63" s="22" t="inlineStr">
        <is>
          <t>%</t>
        </is>
      </c>
      <c r="E63" s="22" t="inlineStr">
        <is>
          <t>Auxiliary retention factor (98% means a 2% auxiliary loss).</t>
        </is>
      </c>
    </row>
    <row r="64">
      <c r="A64" s="23" t="inlineStr">
        <is>
          <t>Battery &amp; PCS Library</t>
        </is>
      </c>
      <c r="B64" s="20" t="inlineStr">
        <is>
          <t>Model fields (form + Excel)</t>
        </is>
      </c>
      <c r="C64" s="21" t="inlineStr">
        <is>
          <t>Pack rated power kW</t>
        </is>
      </c>
      <c r="D64" s="22" t="inlineStr">
        <is>
          <t>kW</t>
        </is>
      </c>
      <c r="E64" s="22" t="inlineStr">
        <is>
          <t>Maximum discharge power of one pack.</t>
        </is>
      </c>
    </row>
    <row r="65">
      <c r="A65" s="23" t="inlineStr">
        <is>
          <t>Battery &amp; PCS Library</t>
        </is>
      </c>
      <c r="B65" s="20" t="inlineStr">
        <is>
          <t>Model fields (form + Excel)</t>
        </is>
      </c>
      <c r="C65" s="21" t="inlineStr">
        <is>
          <t>PCS rated power kW</t>
        </is>
      </c>
      <c r="D65" s="22" t="inlineStr">
        <is>
          <t>kW</t>
        </is>
      </c>
      <c r="E65" s="22" t="inlineStr">
        <is>
          <t>Rated AC power of one PCS/inverter.</t>
        </is>
      </c>
    </row>
    <row r="66">
      <c r="A66" s="23" t="inlineStr">
        <is>
          <t>Battery &amp; PCS Library</t>
        </is>
      </c>
      <c r="B66" s="20" t="inlineStr">
        <is>
          <t>Model fields (form + Excel)</t>
        </is>
      </c>
      <c r="C66" s="21" t="inlineStr">
        <is>
          <t>First-year degradation %</t>
        </is>
      </c>
      <c r="D66" s="22" t="inlineStr">
        <is>
          <t>%</t>
        </is>
      </c>
      <c r="E66" s="22" t="inlineStr">
        <is>
          <t>Capacity loss in year 1.</t>
        </is>
      </c>
    </row>
    <row r="67">
      <c r="A67" s="23" t="inlineStr">
        <is>
          <t>Battery &amp; PCS Library</t>
        </is>
      </c>
      <c r="B67" s="20" t="inlineStr">
        <is>
          <t>Model fields (form + Excel)</t>
        </is>
      </c>
      <c r="C67" s="21" t="inlineStr">
        <is>
          <t>Annual degradation (years 2–15) %</t>
        </is>
      </c>
      <c r="D67" s="22" t="inlineStr">
        <is>
          <t>%</t>
        </is>
      </c>
      <c r="E67" s="22" t="inlineStr">
        <is>
          <t>Capacity loss per year in years 2–15.</t>
        </is>
      </c>
    </row>
    <row r="68">
      <c r="A68" s="23" t="inlineStr">
        <is>
          <t>Battery &amp; PCS Library</t>
        </is>
      </c>
      <c r="B68" s="20" t="inlineStr">
        <is>
          <t>Model fields (form + Excel)</t>
        </is>
      </c>
      <c r="C68" s="21" t="inlineStr">
        <is>
          <t>RTE definition</t>
        </is>
      </c>
      <c r="D68" s="22" t="inlineStr">
        <is>
          <t>text</t>
        </is>
      </c>
      <c r="E68" s="22" t="inlineStr">
        <is>
          <t>Free-text description of the RTE basis.</t>
        </is>
      </c>
    </row>
    <row r="69">
      <c r="A69" s="23" t="inlineStr">
        <is>
          <t>Battery &amp; PCS Library</t>
        </is>
      </c>
      <c r="B69" s="20" t="inlineStr">
        <is>
          <t>Model fields (form + Excel)</t>
        </is>
      </c>
      <c r="C69" s="21" t="inlineStr">
        <is>
          <t>Degradation / reserve notes</t>
        </is>
      </c>
      <c r="D69" s="22" t="inlineStr">
        <is>
          <t>text</t>
        </is>
      </c>
      <c r="E69" s="22" t="inlineStr">
        <is>
          <t>Notes on degradation / reserve assumptions.</t>
        </is>
      </c>
    </row>
    <row r="70">
      <c r="A70" s="23" t="inlineStr">
        <is>
          <t>Battery &amp; PCS Library</t>
        </is>
      </c>
      <c r="B70" s="20" t="inlineStr">
        <is>
          <t>Model fields (form + Excel)</t>
        </is>
      </c>
      <c r="C70" s="21" t="inlineStr">
        <is>
          <t>Source notes</t>
        </is>
      </c>
      <c r="D70" s="22" t="inlineStr">
        <is>
          <t>text</t>
        </is>
      </c>
      <c r="E70" s="22" t="inlineStr">
        <is>
          <t>Where the values came from (datasheet vs illustrative example).</t>
        </is>
      </c>
    </row>
    <row r="71">
      <c r="A71" s="23" t="inlineStr">
        <is>
          <t>Battery &amp; PCS Library</t>
        </is>
      </c>
      <c r="B71" s="20" t="inlineStr">
        <is>
          <t>Derived (calculated)</t>
        </is>
      </c>
      <c r="C71" s="21" t="inlineStr">
        <is>
          <t>DoD %</t>
        </is>
      </c>
      <c r="D71" s="22" t="inlineStr">
        <is>
          <t>%</t>
        </is>
      </c>
      <c r="E71" s="22" t="inlineStr">
        <is>
          <t>Depth of discharge = Max SOC % − Min SOC % (calculated).</t>
        </is>
      </c>
    </row>
    <row r="72">
      <c r="A72" s="23" t="inlineStr">
        <is>
          <t>Battery &amp; PCS Library</t>
        </is>
      </c>
      <c r="B72" s="20" t="inlineStr">
        <is>
          <t>Derived (calculated)</t>
        </is>
      </c>
      <c r="C72" s="21" t="inlineStr">
        <is>
          <t>Year-15 SOH %</t>
        </is>
      </c>
      <c r="D72" s="22" t="inlineStr">
        <is>
          <t>%</t>
        </is>
      </c>
      <c r="E72" s="22" t="inlineStr">
        <is>
          <t>State of health at Year 15 = (1 − first-year deg %) × (1 − annual deg %)^14 × 100.</t>
        </is>
      </c>
    </row>
    <row r="73">
      <c r="A73" s="23" t="inlineStr">
        <is>
          <t>Battery &amp; PCS Library</t>
        </is>
      </c>
      <c r="B73" s="20" t="inlineStr">
        <is>
          <t>Derived (calculated)</t>
        </is>
      </c>
      <c r="C73" s="21" t="inlineStr">
        <is>
          <t>Usable per pack (birth)</t>
        </is>
      </c>
      <c r="D73" s="22" t="inlineStr">
        <is>
          <t>kWh</t>
        </is>
      </c>
      <c r="E73" s="22" t="inlineStr">
        <is>
          <t>Usable energy per pack with no degradation = gross kWh × DoD % × RTE % × aux %.</t>
        </is>
      </c>
    </row>
    <row r="74">
      <c r="A74" s="23" t="inlineStr">
        <is>
          <t>Battery &amp; PCS Library</t>
        </is>
      </c>
      <c r="B74" s="20" t="inlineStr">
        <is>
          <t>Derived (calculated)</t>
        </is>
      </c>
      <c r="C74" s="21" t="inlineStr">
        <is>
          <t>Usable per pack (Year 1)</t>
        </is>
      </c>
      <c r="D74" s="22" t="inlineStr">
        <is>
          <t>kWh</t>
        </is>
      </c>
      <c r="E74" s="22" t="inlineStr">
        <is>
          <t>Birth usable × (1 − first-year deg %).</t>
        </is>
      </c>
    </row>
    <row r="75">
      <c r="A75" s="23" t="inlineStr">
        <is>
          <t>Battery &amp; PCS Library</t>
        </is>
      </c>
      <c r="B75" s="20" t="inlineStr">
        <is>
          <t>Derived (calculated)</t>
        </is>
      </c>
      <c r="C75" s="21" t="inlineStr">
        <is>
          <t>Usable per pack (Year 15)</t>
        </is>
      </c>
      <c r="D75" s="22" t="inlineStr">
        <is>
          <t>kWh</t>
        </is>
      </c>
      <c r="E75" s="22" t="inlineStr">
        <is>
          <t>Birth usable × Year-15 SOH %. Shown in the library table as 'Usable Y15'.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2026-08-19T22:37:36Z</dcterms:created>
  <dcterms:modified xmlns:dcterms="http://purl.org/dc/terms/" xmlns:xsi="http://www.w3.org/2001/XMLSchema-instance" xsi:type="dcterms:W3CDTF">2026-08-22T23:05:00Z</dcterms:modified>
  <cp:lastModifiedBy>User</cp:lastModifiedBy>
</cp:coreProperties>
</file>